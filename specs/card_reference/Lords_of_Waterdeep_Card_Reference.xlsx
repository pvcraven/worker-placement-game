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Cra\Worker Placement Game\specs\"/>
    </mc:Choice>
  </mc:AlternateContent>
  <xr:revisionPtr revIDLastSave="0" documentId="8_{30C378E0-CC15-4DE7-9B0A-C354F388D2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 cards" sheetId="1" r:id="rId1"/>
    <sheet name="Intrigue cards" sheetId="5" r:id="rId2"/>
    <sheet name="Notes" sheetId="7" r:id="rId3"/>
  </sheets>
  <definedNames>
    <definedName name="_xlnm._FilterDatabase" localSheetId="0" hidden="1">'Quest cards'!$A$12:$AD$72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Y47" i="1"/>
  <c r="Y82" i="1"/>
  <c r="Y71" i="1"/>
  <c r="Y50" i="1"/>
  <c r="Y48" i="1"/>
  <c r="Y49" i="1"/>
  <c r="Y124" i="1"/>
  <c r="X33" i="1"/>
  <c r="X113" i="1"/>
  <c r="X132" i="1"/>
  <c r="X110" i="1"/>
  <c r="X18" i="1"/>
  <c r="X74" i="1"/>
  <c r="X133" i="1"/>
  <c r="X73" i="1"/>
  <c r="X57" i="1"/>
  <c r="X64" i="1"/>
  <c r="X56" i="1"/>
  <c r="X14" i="1"/>
  <c r="X17" i="1"/>
  <c r="X131" i="1"/>
  <c r="X20" i="1"/>
  <c r="X16" i="1"/>
  <c r="X22" i="1"/>
  <c r="X13" i="1"/>
  <c r="X19" i="1"/>
  <c r="X72" i="1"/>
  <c r="X15" i="1"/>
  <c r="S24" i="1"/>
  <c r="Y130" i="1"/>
  <c r="P11" i="1"/>
  <c r="W28" i="1" s="1"/>
  <c r="H11" i="1"/>
  <c r="J33" i="1" s="1"/>
  <c r="C5" i="1"/>
  <c r="Y63" i="1" s="1"/>
  <c r="J47" i="1"/>
  <c r="J99" i="1"/>
  <c r="J16" i="1" l="1"/>
  <c r="Y39" i="1"/>
  <c r="W50" i="1"/>
  <c r="J19" i="1"/>
  <c r="J75" i="1"/>
  <c r="Y126" i="1"/>
  <c r="J84" i="1"/>
  <c r="J83" i="1"/>
  <c r="J102" i="1"/>
  <c r="J88" i="1"/>
  <c r="J71" i="1"/>
  <c r="J76" i="1"/>
  <c r="J101" i="1"/>
  <c r="J61" i="1"/>
  <c r="J22" i="1"/>
  <c r="J53" i="1"/>
  <c r="J26" i="1"/>
  <c r="J43" i="1"/>
  <c r="J115" i="1"/>
  <c r="J130" i="1"/>
  <c r="J80" i="1"/>
  <c r="J97" i="1"/>
  <c r="J51" i="1"/>
  <c r="J23" i="1"/>
  <c r="J120" i="1"/>
  <c r="J59" i="1"/>
  <c r="J85" i="1"/>
  <c r="J27" i="1"/>
  <c r="J63" i="1"/>
  <c r="J49" i="1"/>
  <c r="J20" i="1"/>
  <c r="J52" i="1"/>
  <c r="J124" i="1"/>
  <c r="J87" i="1"/>
  <c r="J121" i="1"/>
  <c r="J86" i="1"/>
  <c r="J134" i="1"/>
  <c r="J72" i="1"/>
  <c r="J78" i="1"/>
  <c r="J89" i="1"/>
  <c r="J54" i="1"/>
  <c r="J58" i="1"/>
  <c r="J81" i="1"/>
  <c r="J70" i="1"/>
  <c r="J96" i="1"/>
  <c r="J41" i="1"/>
  <c r="J127" i="1"/>
  <c r="J44" i="1"/>
  <c r="W77" i="1"/>
  <c r="J73" i="1"/>
  <c r="J34" i="1"/>
  <c r="J129" i="1"/>
  <c r="J92" i="1"/>
  <c r="J74" i="1"/>
  <c r="J98" i="1"/>
  <c r="J15" i="1"/>
  <c r="J112" i="1"/>
  <c r="J79" i="1"/>
  <c r="J77" i="1"/>
  <c r="J13" i="1"/>
  <c r="J122" i="1"/>
  <c r="J82" i="1"/>
  <c r="J128" i="1"/>
  <c r="J50" i="1"/>
  <c r="J48" i="1"/>
  <c r="J135" i="1"/>
  <c r="J108" i="1"/>
  <c r="J94" i="1"/>
  <c r="J45" i="1"/>
  <c r="J55" i="1"/>
  <c r="J24" i="1"/>
  <c r="W46" i="1"/>
  <c r="J62" i="1"/>
  <c r="W23" i="1"/>
  <c r="W103" i="1"/>
  <c r="W118" i="1"/>
  <c r="W91" i="1"/>
  <c r="W36" i="1"/>
  <c r="W74" i="1"/>
  <c r="W133" i="1"/>
  <c r="W24" i="1"/>
  <c r="W14" i="1"/>
  <c r="W135" i="1"/>
  <c r="W13" i="1"/>
  <c r="W51" i="1"/>
  <c r="W69" i="1"/>
  <c r="W25" i="1"/>
  <c r="W119" i="1"/>
  <c r="W114" i="1"/>
  <c r="W68" i="1"/>
  <c r="W57" i="1"/>
  <c r="W56" i="1"/>
  <c r="W131" i="1"/>
  <c r="W127" i="1"/>
  <c r="W128" i="1"/>
  <c r="W79" i="1"/>
  <c r="W104" i="1"/>
  <c r="W125" i="1"/>
  <c r="W111" i="1"/>
  <c r="W90" i="1"/>
  <c r="W18" i="1"/>
  <c r="W35" i="1"/>
  <c r="W67" i="1"/>
  <c r="W66" i="1"/>
  <c r="W108" i="1"/>
  <c r="W82" i="1"/>
  <c r="W15" i="1"/>
  <c r="W65" i="1"/>
  <c r="W110" i="1"/>
  <c r="W95" i="1"/>
  <c r="W73" i="1"/>
  <c r="W113" i="1"/>
  <c r="J29" i="1"/>
  <c r="J14" i="1"/>
  <c r="J46" i="1"/>
  <c r="J42" i="1"/>
  <c r="J133" i="1"/>
  <c r="J28" i="1"/>
  <c r="J32" i="1"/>
  <c r="J37" i="1"/>
  <c r="J38" i="1"/>
  <c r="J126" i="1"/>
  <c r="J65" i="1"/>
  <c r="J66" i="1"/>
  <c r="J39" i="1"/>
  <c r="J57" i="1"/>
  <c r="J35" i="1"/>
  <c r="J116" i="1"/>
  <c r="J90" i="1"/>
  <c r="J111" i="1"/>
  <c r="J125" i="1"/>
  <c r="J104" i="1"/>
  <c r="J17" i="1"/>
  <c r="J56" i="1"/>
  <c r="J67" i="1"/>
  <c r="J105" i="1"/>
  <c r="J68" i="1"/>
  <c r="J18" i="1"/>
  <c r="J110" i="1"/>
  <c r="J95" i="1"/>
  <c r="J113" i="1"/>
  <c r="W29" i="1"/>
  <c r="W106" i="1"/>
  <c r="W30" i="1"/>
  <c r="W64" i="1"/>
  <c r="W107" i="1"/>
  <c r="W21" i="1"/>
  <c r="W109" i="1"/>
  <c r="W100" i="1"/>
  <c r="W117" i="1"/>
  <c r="W17" i="1"/>
  <c r="J36" i="1"/>
  <c r="J114" i="1"/>
  <c r="J91" i="1"/>
  <c r="J119" i="1"/>
  <c r="J118" i="1"/>
  <c r="J25" i="1"/>
  <c r="J103" i="1"/>
  <c r="J69" i="1"/>
  <c r="W40" i="1"/>
  <c r="W93" i="1"/>
  <c r="W31" i="1"/>
  <c r="W132" i="1"/>
  <c r="W60" i="1"/>
  <c r="W123" i="1"/>
  <c r="W33" i="1"/>
  <c r="W112" i="1"/>
  <c r="W122" i="1"/>
  <c r="W48" i="1"/>
  <c r="W124" i="1"/>
  <c r="J131" i="1"/>
  <c r="J106" i="1"/>
  <c r="J30" i="1"/>
  <c r="J64" i="1"/>
  <c r="J107" i="1"/>
  <c r="J21" i="1"/>
  <c r="J109" i="1"/>
  <c r="J100" i="1"/>
  <c r="J117" i="1"/>
  <c r="W34" i="1"/>
  <c r="W92" i="1"/>
  <c r="W39" i="1"/>
  <c r="W42" i="1"/>
  <c r="W105" i="1"/>
  <c r="W120" i="1"/>
  <c r="W116" i="1"/>
  <c r="W32" i="1"/>
  <c r="J40" i="1"/>
  <c r="J93" i="1"/>
  <c r="J31" i="1"/>
  <c r="J132" i="1"/>
  <c r="J60" i="1"/>
  <c r="J123" i="1"/>
  <c r="W59" i="1"/>
  <c r="W37" i="1"/>
  <c r="W129" i="1"/>
  <c r="W38" i="1"/>
  <c r="W98" i="1"/>
  <c r="W126" i="1"/>
  <c r="W62" i="1"/>
  <c r="Z120" i="1"/>
  <c r="W72" i="1"/>
  <c r="W61" i="1"/>
  <c r="W54" i="1"/>
  <c r="W83" i="1"/>
  <c r="W70" i="1"/>
  <c r="W75" i="1"/>
  <c r="W44" i="1"/>
  <c r="W87" i="1"/>
  <c r="W99" i="1"/>
  <c r="W19" i="1"/>
  <c r="W89" i="1"/>
  <c r="W86" i="1"/>
  <c r="W22" i="1"/>
  <c r="W80" i="1"/>
  <c r="W81" i="1"/>
  <c r="W63" i="1"/>
  <c r="W16" i="1"/>
  <c r="Z16" i="1" s="1"/>
  <c r="W102" i="1"/>
  <c r="W41" i="1"/>
  <c r="W94" i="1"/>
  <c r="W45" i="1"/>
  <c r="W55" i="1"/>
  <c r="W84" i="1"/>
  <c r="W85" i="1"/>
  <c r="W130" i="1"/>
  <c r="W27" i="1"/>
  <c r="W71" i="1"/>
  <c r="W49" i="1"/>
  <c r="W26" i="1"/>
  <c r="W76" i="1"/>
  <c r="W101" i="1"/>
  <c r="W115" i="1"/>
  <c r="W78" i="1"/>
  <c r="W121" i="1"/>
  <c r="W47" i="1"/>
  <c r="W88" i="1"/>
  <c r="W58" i="1"/>
  <c r="W134" i="1"/>
  <c r="W53" i="1"/>
  <c r="W97" i="1"/>
  <c r="W96" i="1"/>
  <c r="W20" i="1"/>
  <c r="W52" i="1"/>
  <c r="W43" i="1"/>
  <c r="AA120" i="1" l="1"/>
  <c r="AB120" i="1"/>
  <c r="AA16" i="1"/>
  <c r="AB16" i="1"/>
  <c r="Z134" i="1"/>
  <c r="Z131" i="1"/>
  <c r="Z84" i="1"/>
  <c r="Z28" i="1"/>
  <c r="Z14" i="1"/>
  <c r="Y14" i="1" s="1"/>
  <c r="Z104" i="1"/>
  <c r="Z79" i="1"/>
  <c r="Z133" i="1"/>
  <c r="Z51" i="1"/>
  <c r="Z39" i="1"/>
  <c r="Z64" i="1"/>
  <c r="Z91" i="1"/>
  <c r="Z88" i="1"/>
  <c r="Z125" i="1"/>
  <c r="Z35" i="1"/>
  <c r="Z135" i="1"/>
  <c r="Z127" i="1"/>
  <c r="Z119" i="1"/>
  <c r="Z81" i="1"/>
  <c r="Z126" i="1"/>
  <c r="Z36" i="1"/>
  <c r="Z130" i="1"/>
  <c r="Z118" i="1"/>
  <c r="Z90" i="1"/>
  <c r="Z70" i="1"/>
  <c r="Z66" i="1"/>
  <c r="Z82" i="1"/>
  <c r="Z67" i="1"/>
  <c r="Z20" i="1"/>
  <c r="Y20" i="1" s="1"/>
  <c r="Z23" i="1"/>
  <c r="Z31" i="1"/>
  <c r="Z113" i="1"/>
  <c r="Z68" i="1"/>
  <c r="Z17" i="1"/>
  <c r="Z38" i="1"/>
  <c r="Z108" i="1"/>
  <c r="Z121" i="1"/>
  <c r="Z33" i="1"/>
  <c r="Z111" i="1"/>
  <c r="Z57" i="1"/>
  <c r="Z116" i="1"/>
  <c r="Z110" i="1"/>
  <c r="Z18" i="1"/>
  <c r="Y18" i="1" s="1"/>
  <c r="Z95" i="1"/>
  <c r="Z50" i="1"/>
  <c r="Z76" i="1"/>
  <c r="Z46" i="1"/>
  <c r="Z103" i="1"/>
  <c r="Z128" i="1"/>
  <c r="Z124" i="1"/>
  <c r="Z58" i="1"/>
  <c r="Z32" i="1"/>
  <c r="Z42" i="1"/>
  <c r="Z123" i="1"/>
  <c r="Z93" i="1"/>
  <c r="Z29" i="1"/>
  <c r="Z56" i="1"/>
  <c r="Z69" i="1"/>
  <c r="Z74" i="1"/>
  <c r="Z13" i="1"/>
  <c r="Z15" i="1"/>
  <c r="Z72" i="1"/>
  <c r="Z112" i="1"/>
  <c r="Z77" i="1"/>
  <c r="Z24" i="1"/>
  <c r="Z59" i="1"/>
  <c r="Z73" i="1"/>
  <c r="Z78" i="1"/>
  <c r="Z107" i="1"/>
  <c r="Z65" i="1"/>
  <c r="Z94" i="1"/>
  <c r="Z115" i="1"/>
  <c r="Z98" i="1"/>
  <c r="Z99" i="1"/>
  <c r="Z100" i="1"/>
  <c r="Z60" i="1"/>
  <c r="Z41" i="1"/>
  <c r="Z30" i="1"/>
  <c r="Z89" i="1"/>
  <c r="Z25" i="1"/>
  <c r="Z129" i="1"/>
  <c r="Z40" i="1"/>
  <c r="Z109" i="1"/>
  <c r="Z114" i="1"/>
  <c r="Z132" i="1"/>
  <c r="Z92" i="1"/>
  <c r="Z105" i="1"/>
  <c r="Z106" i="1"/>
  <c r="Z122" i="1"/>
  <c r="Z48" i="1"/>
  <c r="Z86" i="1"/>
  <c r="Z34" i="1"/>
  <c r="Z21" i="1"/>
  <c r="Z117" i="1"/>
  <c r="Z37" i="1"/>
  <c r="Z62" i="1"/>
  <c r="Z75" i="1"/>
  <c r="Z80" i="1"/>
  <c r="Z26" i="1"/>
  <c r="Z45" i="1"/>
  <c r="Z96" i="1"/>
  <c r="Z22" i="1"/>
  <c r="Z97" i="1"/>
  <c r="Z102" i="1"/>
  <c r="Z49" i="1"/>
  <c r="Z85" i="1"/>
  <c r="Z87" i="1"/>
  <c r="Z83" i="1"/>
  <c r="Z43" i="1"/>
  <c r="Z54" i="1"/>
  <c r="Z63" i="1"/>
  <c r="Z47" i="1"/>
  <c r="Z52" i="1"/>
  <c r="Z27" i="1"/>
  <c r="Z44" i="1"/>
  <c r="Z19" i="1"/>
  <c r="Y19" i="1" s="1"/>
  <c r="Z55" i="1"/>
  <c r="Z71" i="1"/>
  <c r="Z53" i="1"/>
  <c r="Z101" i="1"/>
  <c r="Z61" i="1"/>
  <c r="Y17" i="1" l="1"/>
  <c r="AA17" i="1" s="1"/>
  <c r="AA54" i="1"/>
  <c r="AB54" i="1"/>
  <c r="AA117" i="1"/>
  <c r="AB117" i="1"/>
  <c r="AB40" i="1"/>
  <c r="AA40" i="1"/>
  <c r="AB59" i="1"/>
  <c r="AA59" i="1"/>
  <c r="AA124" i="1"/>
  <c r="AB124" i="1"/>
  <c r="AA110" i="1"/>
  <c r="AB110" i="1"/>
  <c r="AA23" i="1"/>
  <c r="AB23" i="1"/>
  <c r="AB119" i="1"/>
  <c r="AA119" i="1"/>
  <c r="AB39" i="1"/>
  <c r="AA39" i="1"/>
  <c r="AA104" i="1"/>
  <c r="AB104" i="1"/>
  <c r="AB55" i="1"/>
  <c r="AA55" i="1"/>
  <c r="AB19" i="1"/>
  <c r="AA19" i="1"/>
  <c r="AB102" i="1"/>
  <c r="AA102" i="1"/>
  <c r="AB62" i="1"/>
  <c r="AA62" i="1"/>
  <c r="AB114" i="1"/>
  <c r="AA114" i="1"/>
  <c r="AB25" i="1"/>
  <c r="AA25" i="1"/>
  <c r="AA60" i="1"/>
  <c r="AB60" i="1"/>
  <c r="AB115" i="1"/>
  <c r="AA115" i="1"/>
  <c r="AA78" i="1"/>
  <c r="AB78" i="1"/>
  <c r="AA77" i="1"/>
  <c r="AB77" i="1"/>
  <c r="AB13" i="1"/>
  <c r="AA13" i="1"/>
  <c r="AA29" i="1"/>
  <c r="AB29" i="1"/>
  <c r="AA32" i="1"/>
  <c r="AB32" i="1"/>
  <c r="AB103" i="1"/>
  <c r="AA103" i="1"/>
  <c r="AB95" i="1"/>
  <c r="AA95" i="1"/>
  <c r="AA57" i="1"/>
  <c r="AB57" i="1"/>
  <c r="AA108" i="1"/>
  <c r="AB108" i="1"/>
  <c r="AB113" i="1"/>
  <c r="AA113" i="1"/>
  <c r="AB67" i="1"/>
  <c r="AA67" i="1"/>
  <c r="AA90" i="1"/>
  <c r="AB90" i="1"/>
  <c r="AA126" i="1"/>
  <c r="AB126" i="1"/>
  <c r="AB135" i="1"/>
  <c r="AA135" i="1"/>
  <c r="AB91" i="1"/>
  <c r="AA91" i="1"/>
  <c r="AB133" i="1"/>
  <c r="AA133" i="1"/>
  <c r="AB28" i="1"/>
  <c r="AA28" i="1"/>
  <c r="AB71" i="1"/>
  <c r="AA71" i="1"/>
  <c r="AB85" i="1"/>
  <c r="AA85" i="1"/>
  <c r="AB80" i="1"/>
  <c r="AA80" i="1"/>
  <c r="AA48" i="1"/>
  <c r="AB48" i="1"/>
  <c r="AA30" i="1"/>
  <c r="AB30" i="1"/>
  <c r="AA99" i="1"/>
  <c r="AB99" i="1"/>
  <c r="AB72" i="1"/>
  <c r="AA72" i="1"/>
  <c r="AB69" i="1"/>
  <c r="AA69" i="1"/>
  <c r="AB76" i="1"/>
  <c r="AA76" i="1"/>
  <c r="AB66" i="1"/>
  <c r="AA66" i="1"/>
  <c r="AA125" i="1"/>
  <c r="AB125" i="1"/>
  <c r="AA131" i="1"/>
  <c r="AB131" i="1"/>
  <c r="AB61" i="1"/>
  <c r="AA61" i="1"/>
  <c r="AB52" i="1"/>
  <c r="AA52" i="1"/>
  <c r="AB49" i="1"/>
  <c r="AA49" i="1"/>
  <c r="AA101" i="1"/>
  <c r="AB101" i="1"/>
  <c r="AB47" i="1"/>
  <c r="AA47" i="1"/>
  <c r="AB83" i="1"/>
  <c r="AA83" i="1"/>
  <c r="AB45" i="1"/>
  <c r="AA45" i="1"/>
  <c r="AA34" i="1"/>
  <c r="AB34" i="1"/>
  <c r="AB106" i="1"/>
  <c r="AA106" i="1"/>
  <c r="AA53" i="1"/>
  <c r="AB53" i="1"/>
  <c r="AB44" i="1"/>
  <c r="AA44" i="1"/>
  <c r="AA63" i="1"/>
  <c r="AB63" i="1"/>
  <c r="AA87" i="1"/>
  <c r="AB87" i="1"/>
  <c r="AA97" i="1"/>
  <c r="AB97" i="1"/>
  <c r="AB26" i="1"/>
  <c r="AA26" i="1"/>
  <c r="AB37" i="1"/>
  <c r="AA37" i="1"/>
  <c r="AB86" i="1"/>
  <c r="AA86" i="1"/>
  <c r="AA105" i="1"/>
  <c r="AB105" i="1"/>
  <c r="AA109" i="1"/>
  <c r="AB109" i="1"/>
  <c r="AB89" i="1"/>
  <c r="AA89" i="1"/>
  <c r="AA100" i="1"/>
  <c r="AB100" i="1"/>
  <c r="AB94" i="1"/>
  <c r="AA94" i="1"/>
  <c r="AB73" i="1"/>
  <c r="AA73" i="1"/>
  <c r="AB112" i="1"/>
  <c r="AA112" i="1"/>
  <c r="AB74" i="1"/>
  <c r="AA74" i="1"/>
  <c r="AA93" i="1"/>
  <c r="AB93" i="1"/>
  <c r="AB58" i="1"/>
  <c r="AA58" i="1"/>
  <c r="AA46" i="1"/>
  <c r="AB46" i="1"/>
  <c r="AB18" i="1"/>
  <c r="AA18" i="1"/>
  <c r="AB111" i="1"/>
  <c r="AA111" i="1"/>
  <c r="AB38" i="1"/>
  <c r="AA38" i="1"/>
  <c r="AB31" i="1"/>
  <c r="AA31" i="1"/>
  <c r="AA82" i="1"/>
  <c r="AB82" i="1"/>
  <c r="AB118" i="1"/>
  <c r="AA118" i="1"/>
  <c r="AB81" i="1"/>
  <c r="AA81" i="1"/>
  <c r="AB35" i="1"/>
  <c r="AA35" i="1"/>
  <c r="AB64" i="1"/>
  <c r="AA64" i="1"/>
  <c r="AB79" i="1"/>
  <c r="AA79" i="1"/>
  <c r="AB84" i="1"/>
  <c r="AA84" i="1"/>
  <c r="AB27" i="1"/>
  <c r="AA27" i="1"/>
  <c r="AB22" i="1"/>
  <c r="AA22" i="1"/>
  <c r="AA92" i="1"/>
  <c r="AB92" i="1"/>
  <c r="AA65" i="1"/>
  <c r="AB65" i="1"/>
  <c r="AB123" i="1"/>
  <c r="AA123" i="1"/>
  <c r="AB33" i="1"/>
  <c r="AA33" i="1"/>
  <c r="AB130" i="1"/>
  <c r="AA130" i="1"/>
  <c r="AA43" i="1"/>
  <c r="AB43" i="1"/>
  <c r="AB96" i="1"/>
  <c r="AA96" i="1"/>
  <c r="AA75" i="1"/>
  <c r="AB75" i="1"/>
  <c r="AB21" i="1"/>
  <c r="AA21" i="1"/>
  <c r="AB122" i="1"/>
  <c r="AA122" i="1"/>
  <c r="AA132" i="1"/>
  <c r="AB132" i="1"/>
  <c r="AA129" i="1"/>
  <c r="AB129" i="1"/>
  <c r="AA41" i="1"/>
  <c r="AB41" i="1"/>
  <c r="AB98" i="1"/>
  <c r="AA98" i="1"/>
  <c r="AA107" i="1"/>
  <c r="AB107" i="1"/>
  <c r="AB24" i="1"/>
  <c r="AA24" i="1"/>
  <c r="AA15" i="1"/>
  <c r="AB15" i="1"/>
  <c r="AB56" i="1"/>
  <c r="AA56" i="1"/>
  <c r="AB42" i="1"/>
  <c r="AA42" i="1"/>
  <c r="AA128" i="1"/>
  <c r="AB128" i="1"/>
  <c r="AB50" i="1"/>
  <c r="AA50" i="1"/>
  <c r="AA116" i="1"/>
  <c r="AB116" i="1"/>
  <c r="AB121" i="1"/>
  <c r="AA121" i="1"/>
  <c r="AB68" i="1"/>
  <c r="AA68" i="1"/>
  <c r="AA20" i="1"/>
  <c r="AB20" i="1"/>
  <c r="AB70" i="1"/>
  <c r="AA70" i="1"/>
  <c r="AB36" i="1"/>
  <c r="AA36" i="1"/>
  <c r="AB127" i="1"/>
  <c r="AA127" i="1"/>
  <c r="AB88" i="1"/>
  <c r="AA88" i="1"/>
  <c r="AA51" i="1"/>
  <c r="AB51" i="1"/>
  <c r="AB14" i="1"/>
  <c r="AA14" i="1"/>
  <c r="AB134" i="1"/>
  <c r="AA134" i="1"/>
  <c r="AA7" i="1" l="1"/>
  <c r="AA6" i="1"/>
  <c r="AB5" i="1"/>
  <c r="AB6" i="1"/>
  <c r="AB7" i="1"/>
  <c r="AA4" i="1"/>
  <c r="AB4" i="1"/>
  <c r="AA5" i="1"/>
  <c r="AA3" i="1"/>
  <c r="AB17" i="1"/>
  <c r="AD101" i="1" s="1"/>
  <c r="AC72" i="1"/>
  <c r="AC128" i="1"/>
  <c r="AC126" i="1"/>
  <c r="AD64" i="1"/>
  <c r="AC75" i="1"/>
  <c r="AC107" i="1"/>
  <c r="AC19" i="1"/>
  <c r="AC60" i="1"/>
  <c r="AC122" i="1"/>
  <c r="AC76" i="1"/>
  <c r="AC92" i="1"/>
  <c r="AC37" i="1"/>
  <c r="AC83" i="1"/>
  <c r="AC66" i="1"/>
  <c r="AC48" i="1"/>
  <c r="AC108" i="1"/>
  <c r="AC78" i="1"/>
  <c r="AC125" i="1"/>
  <c r="AC31" i="1"/>
  <c r="AC99" i="1"/>
  <c r="AC27" i="1"/>
  <c r="AC85" i="1"/>
  <c r="AC79" i="1"/>
  <c r="AC44" i="1"/>
  <c r="AC30" i="1"/>
  <c r="AC26" i="1"/>
  <c r="AC95" i="1"/>
  <c r="AC57" i="1"/>
  <c r="AC59" i="1"/>
  <c r="AC53" i="1"/>
  <c r="AC133" i="1"/>
  <c r="AC103" i="1"/>
  <c r="AC124" i="1"/>
  <c r="AC67" i="1"/>
  <c r="AC20" i="1"/>
  <c r="AC106" i="1"/>
  <c r="AC61" i="1"/>
  <c r="AC116" i="1"/>
  <c r="AC130" i="1"/>
  <c r="AC13" i="1"/>
  <c r="AA10" i="1"/>
  <c r="AC33" i="1"/>
  <c r="AC77" i="1"/>
  <c r="AC90" i="1"/>
  <c r="AC45" i="1"/>
  <c r="AC110" i="1"/>
  <c r="AC121" i="1"/>
  <c r="AC80" i="1"/>
  <c r="AC43" i="1"/>
  <c r="AC15" i="1"/>
  <c r="AC63" i="1"/>
  <c r="AC111" i="1"/>
  <c r="AC102" i="1"/>
  <c r="AC24" i="1"/>
  <c r="AC105" i="1"/>
  <c r="AC18" i="1"/>
  <c r="AC123" i="1"/>
  <c r="AC64" i="1"/>
  <c r="AC73" i="1"/>
  <c r="AC104" i="1"/>
  <c r="AC23" i="1"/>
  <c r="AC38" i="1"/>
  <c r="AC97" i="1"/>
  <c r="AC93" i="1"/>
  <c r="AC119" i="1"/>
  <c r="AC16" i="1"/>
  <c r="AC68" i="1"/>
  <c r="AC49" i="1"/>
  <c r="AC86" i="1"/>
  <c r="AC17" i="1"/>
  <c r="AC69" i="1"/>
  <c r="AC46" i="1"/>
  <c r="AC81" i="1"/>
  <c r="AC71" i="1"/>
  <c r="AC96" i="1"/>
  <c r="AC118" i="1"/>
  <c r="AC39" i="1"/>
  <c r="AC84" i="1"/>
  <c r="AC56" i="1"/>
  <c r="AC135" i="1"/>
  <c r="AC87" i="1"/>
  <c r="AC50" i="1"/>
  <c r="AC52" i="1"/>
  <c r="AC25" i="1"/>
  <c r="AC36" i="1"/>
  <c r="AC132" i="1"/>
  <c r="AC74" i="1"/>
  <c r="AC29" i="1"/>
  <c r="AC131" i="1"/>
  <c r="AC32" i="1"/>
  <c r="AC127" i="1"/>
  <c r="AC101" i="1"/>
  <c r="AC100" i="1"/>
  <c r="AC41" i="1"/>
  <c r="AC70" i="1"/>
  <c r="AC129" i="1"/>
  <c r="AC109" i="1"/>
  <c r="AC65" i="1"/>
  <c r="AC34" i="1"/>
  <c r="AC115" i="1"/>
  <c r="AC62" i="1"/>
  <c r="AC21" i="1"/>
  <c r="AC117" i="1"/>
  <c r="AC114" i="1"/>
  <c r="AC134" i="1"/>
  <c r="AC91" i="1"/>
  <c r="AC14" i="1"/>
  <c r="AC58" i="1"/>
  <c r="AC88" i="1"/>
  <c r="AC42" i="1"/>
  <c r="AC89" i="1"/>
  <c r="AC51" i="1"/>
  <c r="AC28" i="1"/>
  <c r="AC40" i="1"/>
  <c r="AC54" i="1"/>
  <c r="AC55" i="1"/>
  <c r="AC113" i="1"/>
  <c r="AC35" i="1"/>
  <c r="AC98" i="1"/>
  <c r="AC22" i="1"/>
  <c r="AC112" i="1"/>
  <c r="AC47" i="1"/>
  <c r="AC120" i="1"/>
  <c r="AC82" i="1"/>
  <c r="AC94" i="1"/>
  <c r="AB3" i="1" l="1"/>
  <c r="AC6" i="1"/>
  <c r="AC7" i="1"/>
  <c r="AC3" i="1"/>
  <c r="AC4" i="1"/>
  <c r="AC5" i="1"/>
  <c r="AD14" i="1"/>
  <c r="AD43" i="1"/>
  <c r="AD37" i="1"/>
  <c r="AD121" i="1"/>
  <c r="AD109" i="1"/>
  <c r="AD80" i="1"/>
  <c r="AD55" i="1"/>
  <c r="AD128" i="1"/>
  <c r="AD47" i="1"/>
  <c r="AD105" i="1"/>
  <c r="AD23" i="1"/>
  <c r="AD28" i="1"/>
  <c r="AD96" i="1"/>
  <c r="AD76" i="1"/>
  <c r="AD52" i="1"/>
  <c r="AD72" i="1"/>
  <c r="AD122" i="1"/>
  <c r="AD113" i="1"/>
  <c r="AD25" i="1"/>
  <c r="AD31" i="1"/>
  <c r="AD100" i="1"/>
  <c r="AD132" i="1"/>
  <c r="AD84" i="1"/>
  <c r="AD120" i="1"/>
  <c r="AD59" i="1"/>
  <c r="AD94" i="1"/>
  <c r="AD63" i="1"/>
  <c r="AD45" i="1"/>
  <c r="AD97" i="1"/>
  <c r="AD123" i="1"/>
  <c r="AD108" i="1"/>
  <c r="AD17" i="1"/>
  <c r="AD75" i="1"/>
  <c r="AD50" i="1"/>
  <c r="AD79" i="1"/>
  <c r="AD111" i="1"/>
  <c r="AD53" i="1"/>
  <c r="AD29" i="1"/>
  <c r="AD69" i="1"/>
  <c r="AD91" i="1"/>
  <c r="AD124" i="1"/>
  <c r="AD42" i="1"/>
  <c r="AD49" i="1"/>
  <c r="AD99" i="1"/>
  <c r="AD58" i="1"/>
  <c r="AD95" i="1"/>
  <c r="AD88" i="1"/>
  <c r="AD68" i="1"/>
  <c r="AD135" i="1"/>
  <c r="AD104" i="1"/>
  <c r="AD112" i="1"/>
  <c r="AD82" i="1"/>
  <c r="AD65" i="1"/>
  <c r="AD74" i="1"/>
  <c r="AD87" i="1"/>
  <c r="AD56" i="1"/>
  <c r="AD39" i="1"/>
  <c r="AD32" i="1"/>
  <c r="AD36" i="1"/>
  <c r="AD41" i="1"/>
  <c r="AD71" i="1"/>
  <c r="AD92" i="1"/>
  <c r="AD20" i="1"/>
  <c r="AD133" i="1"/>
  <c r="AD48" i="1"/>
  <c r="AD110" i="1"/>
  <c r="AD129" i="1"/>
  <c r="AD60" i="1"/>
  <c r="AD134" i="1"/>
  <c r="AD21" i="1"/>
  <c r="AD35" i="1"/>
  <c r="AD46" i="1"/>
  <c r="AD34" i="1"/>
  <c r="AD126" i="1"/>
  <c r="AD67" i="1"/>
  <c r="AD114" i="1"/>
  <c r="AD54" i="1"/>
  <c r="AD119" i="1"/>
  <c r="AD77" i="1"/>
  <c r="AD89" i="1"/>
  <c r="AD116" i="1"/>
  <c r="AD90" i="1"/>
  <c r="AD19" i="1"/>
  <c r="AD27" i="1"/>
  <c r="AD98" i="1"/>
  <c r="AD106" i="1"/>
  <c r="AD115" i="1"/>
  <c r="AD16" i="1"/>
  <c r="AD57" i="1"/>
  <c r="AD66" i="1"/>
  <c r="AD127" i="1"/>
  <c r="AD83" i="1"/>
  <c r="AD125" i="1"/>
  <c r="AD33" i="1"/>
  <c r="AD40" i="1"/>
  <c r="AD61" i="1"/>
  <c r="AD81" i="1"/>
  <c r="AD18" i="1"/>
  <c r="AD51" i="1"/>
  <c r="AD130" i="1"/>
  <c r="AD118" i="1"/>
  <c r="AD93" i="1"/>
  <c r="AD85" i="1"/>
  <c r="AD107" i="1"/>
  <c r="AD24" i="1"/>
  <c r="AB10" i="1"/>
  <c r="AD38" i="1"/>
  <c r="AD117" i="1"/>
  <c r="AD13" i="1"/>
  <c r="AD86" i="1"/>
  <c r="AD15" i="1"/>
  <c r="AD44" i="1"/>
  <c r="AD22" i="1"/>
  <c r="AD70" i="1"/>
  <c r="AD62" i="1"/>
  <c r="AD26" i="1"/>
  <c r="AD131" i="1"/>
  <c r="AD102" i="1"/>
  <c r="AD78" i="1"/>
  <c r="AD73" i="1"/>
  <c r="AD30" i="1"/>
  <c r="AD103" i="1"/>
  <c r="AD3" i="1" l="1"/>
  <c r="AD7" i="1"/>
  <c r="AD6" i="1"/>
  <c r="AD5" i="1"/>
  <c r="AD4" i="1"/>
</calcChain>
</file>

<file path=xl/sharedStrings.xml><?xml version="1.0" encoding="utf-8"?>
<sst xmlns="http://schemas.openxmlformats.org/spreadsheetml/2006/main" count="609" uniqueCount="323">
  <si>
    <t>card number</t>
  </si>
  <si>
    <t>gold</t>
  </si>
  <si>
    <t>VP</t>
  </si>
  <si>
    <t>Place A Sleeper Agent In Skullport</t>
  </si>
  <si>
    <t>Safeguard Eltorchul Mage</t>
  </si>
  <si>
    <t>Build A Reputation In Skullport</t>
  </si>
  <si>
    <t>Repel Seawraiths</t>
  </si>
  <si>
    <t>Prison Break</t>
  </si>
  <si>
    <t>Loot The Crypt Of Chauntea</t>
  </si>
  <si>
    <t>Deliver An Ultimatum</t>
  </si>
  <si>
    <t>Study The Illusk Arch</t>
  </si>
  <si>
    <t>Recruit For Blackstaff Academy</t>
  </si>
  <si>
    <t>Ambush Artor Morlin</t>
  </si>
  <si>
    <t>Bolster City Guard</t>
  </si>
  <si>
    <t>Retrieve Ancient Artifacts</t>
  </si>
  <si>
    <t>Recover The Magister's Orb</t>
  </si>
  <si>
    <t>Deliver Weapons To Selune's Temple</t>
  </si>
  <si>
    <t>Bribe The Shipwrights</t>
  </si>
  <si>
    <t>Establish New Merchant Guild</t>
  </si>
  <si>
    <t>Convert A Noble To Lathander</t>
  </si>
  <si>
    <t>Fence Goods For Duke Of Darkness</t>
  </si>
  <si>
    <t>Recruit Paladins For Tyr</t>
  </si>
  <si>
    <t>Perform The Penance Of Duty</t>
  </si>
  <si>
    <t>Bolster Griffon Cavalry</t>
  </si>
  <si>
    <t>Establish Shadow Thieves' Guild</t>
  </si>
  <si>
    <t>Create A Shrine To Oghma</t>
  </si>
  <si>
    <t>Eliminate Vampire Coven</t>
  </si>
  <si>
    <t>Impersonate Adarbrent Noble</t>
  </si>
  <si>
    <t>Placate The Walking Statue</t>
  </si>
  <si>
    <t>Quell Mercenary uprising</t>
  </si>
  <si>
    <t>Investigate Aberrant Infestation</t>
  </si>
  <si>
    <t>Spy On The Lighthouse</t>
  </si>
  <si>
    <t>Infiltrate Builder's Hall</t>
  </si>
  <si>
    <t>Install A Spy In Castle Waterdeep</t>
  </si>
  <si>
    <t>Lure Artisans Of Mirabar</t>
  </si>
  <si>
    <t>Thin The City Watch</t>
  </si>
  <si>
    <t>Take Over Rival Organization</t>
  </si>
  <si>
    <t>Seal Gate To Cyric's Realm</t>
  </si>
  <si>
    <t>Host Festival For Sune</t>
  </si>
  <si>
    <t>Steal Spellbook From Silverhand</t>
  </si>
  <si>
    <t>Produce Miracle For The Masses</t>
  </si>
  <si>
    <t>Confront The Xanathar</t>
  </si>
  <si>
    <t>Explore Ahghairon's Tower</t>
  </si>
  <si>
    <t>Expose Red Wizards' Spies</t>
  </si>
  <si>
    <t>Raid On Undermountain</t>
  </si>
  <si>
    <t>Infiltrate Halaster's Circle</t>
  </si>
  <si>
    <t>Train Bladesingers</t>
  </si>
  <si>
    <t>Heal Fallen Gray Hand Soldiers</t>
  </si>
  <si>
    <t>Research Chronomancy</t>
  </si>
  <si>
    <t>Protect The House Of Wonder</t>
  </si>
  <si>
    <t>Form An Alliance With The Rashemi</t>
  </si>
  <si>
    <t>Defend The Tower Of Luck</t>
  </si>
  <si>
    <t>Defeat Uprising From Undermountain</t>
  </si>
  <si>
    <t>Raid Orc Stronghold</t>
  </si>
  <si>
    <t>Expose Cult Corruption</t>
  </si>
  <si>
    <t>Procure Stolen Goods</t>
  </si>
  <si>
    <t>Discover Hidden Temple Of Lolth</t>
  </si>
  <si>
    <t>Send Aid To The Harpers</t>
  </si>
  <si>
    <t>Steal From House Adarbrent</t>
  </si>
  <si>
    <t>Ally With House Thann</t>
  </si>
  <si>
    <t>Commerce</t>
  </si>
  <si>
    <t>Warfare</t>
  </si>
  <si>
    <t>Skullduggery</t>
  </si>
  <si>
    <t>Piety</t>
  </si>
  <si>
    <t>Arcana</t>
  </si>
  <si>
    <t>oj</t>
  </si>
  <si>
    <t>wh</t>
  </si>
  <si>
    <t>bl</t>
  </si>
  <si>
    <t>pu</t>
  </si>
  <si>
    <t>Intrigue</t>
  </si>
  <si>
    <t>Whenever you take an action that provides any oj, also take oj from supply and place it in your Tavern</t>
  </si>
  <si>
    <t>Whenever you take an action that provides any Gold, also take bl from the supply and place it in your Tavern</t>
  </si>
  <si>
    <t>Quest</t>
  </si>
  <si>
    <t>At the start of each round, take any from the supply and place it in your Tavern</t>
  </si>
  <si>
    <t>Domesticate Owlbears</t>
  </si>
  <si>
    <t>+2 for each building you control</t>
  </si>
  <si>
    <t>Establish Harpers Safe House</t>
  </si>
  <si>
    <t>Whenever you complete a Commerce Quest, you score 2 VP</t>
  </si>
  <si>
    <t>Whenever you take an action that provides any pu, also draw an Intrigue card</t>
  </si>
  <si>
    <t>Whenever you take an action that provides any bl, also take 2 Gold from the supply</t>
  </si>
  <si>
    <t>Whenever you buy a Building, you score 4 VP</t>
  </si>
  <si>
    <t>Whenever you complete a Skullduggery Quest, you score 2 VP</t>
  </si>
  <si>
    <t>draw one Building from the stack and put it into play under your control at no cost</t>
  </si>
  <si>
    <t>put one Building from Builder's Hall into play under your control at no cost</t>
  </si>
  <si>
    <t>misc.</t>
  </si>
  <si>
    <t>Whenever you play Intrigue, you score 2 VP</t>
  </si>
  <si>
    <t>immediately play Intrigue without taking an action</t>
  </si>
  <si>
    <t>Once per round, whenever you take an action that provides any wh, you can also replace oj, bl, or pu in your Tavern with wh</t>
  </si>
  <si>
    <t>Whenever you complete a Piety Quest, you score 2 VP</t>
  </si>
  <si>
    <t>Whenever you complete a Warfare Quest, you score 2 VP</t>
  </si>
  <si>
    <t>Once per round, you can assign an Agent to a space containing an opponent's Agent</t>
  </si>
  <si>
    <t>Add the Lieutenant to your pool of Agents for the rest of the game</t>
  </si>
  <si>
    <t>return 1 of your assigned Agents to your pool</t>
  </si>
  <si>
    <t>choose an opponent to gain 4 gold</t>
  </si>
  <si>
    <t>Whenever you complete a Arcana Quest, you score 2 VP</t>
  </si>
  <si>
    <t>Name</t>
  </si>
  <si>
    <t>intrigue type</t>
  </si>
  <si>
    <t>rules</t>
  </si>
  <si>
    <t>qty</t>
  </si>
  <si>
    <t>Call In A Favor</t>
  </si>
  <si>
    <t>Sample Wares</t>
  </si>
  <si>
    <t>Real Estate Deal</t>
  </si>
  <si>
    <t>Spread The Wealth</t>
  </si>
  <si>
    <t>Recall Agent</t>
  </si>
  <si>
    <t>Accelerated Plans</t>
  </si>
  <si>
    <t>Bidding War</t>
  </si>
  <si>
    <t>Conscription</t>
  </si>
  <si>
    <t>Recruit Spies</t>
  </si>
  <si>
    <t>Graduation Day</t>
  </si>
  <si>
    <t>Crime Wave</t>
  </si>
  <si>
    <t>Request Assistance</t>
  </si>
  <si>
    <t>Good Faith</t>
  </si>
  <si>
    <t>Summon The Faithful</t>
  </si>
  <si>
    <t>Research Agreement</t>
  </si>
  <si>
    <t>Bribe Agent</t>
  </si>
  <si>
    <t>Special Assignment</t>
  </si>
  <si>
    <t>Free Drinks</t>
  </si>
  <si>
    <t>Change Of Plans</t>
  </si>
  <si>
    <t>Tax Collection</t>
  </si>
  <si>
    <t>Call For Adventurers</t>
  </si>
  <si>
    <t>Ambush</t>
  </si>
  <si>
    <t>Lack Of Faith</t>
  </si>
  <si>
    <t>Assassination</t>
  </si>
  <si>
    <t>Stamp Out Cultists</t>
  </si>
  <si>
    <t>Fend Off Bandits</t>
  </si>
  <si>
    <t>Quell Riots</t>
  </si>
  <si>
    <t>Placate Angry Merchants</t>
  </si>
  <si>
    <t>Repel Drow Invaders</t>
  </si>
  <si>
    <t>Foil The Zhentarim</t>
  </si>
  <si>
    <t>43-44</t>
  </si>
  <si>
    <t>17-18</t>
  </si>
  <si>
    <t>40-41</t>
  </si>
  <si>
    <t>19-20</t>
  </si>
  <si>
    <t>31-32</t>
  </si>
  <si>
    <t>7-8</t>
  </si>
  <si>
    <t>13</t>
  </si>
  <si>
    <t>36-37</t>
  </si>
  <si>
    <t>30</t>
  </si>
  <si>
    <t>42</t>
  </si>
  <si>
    <t>35</t>
  </si>
  <si>
    <t>22-23</t>
  </si>
  <si>
    <t>33</t>
  </si>
  <si>
    <t>24-25</t>
  </si>
  <si>
    <t>28-29</t>
  </si>
  <si>
    <t>34</t>
  </si>
  <si>
    <t>26-27</t>
  </si>
  <si>
    <t>50</t>
  </si>
  <si>
    <t>45</t>
  </si>
  <si>
    <t>9-10</t>
  </si>
  <si>
    <t>1-2</t>
  </si>
  <si>
    <t>11-12</t>
  </si>
  <si>
    <t>5-6</t>
  </si>
  <si>
    <t>3-4</t>
  </si>
  <si>
    <t>Arcane Mishap</t>
  </si>
  <si>
    <t>21</t>
  </si>
  <si>
    <t>38-39</t>
  </si>
  <si>
    <t>14-16</t>
  </si>
  <si>
    <t>48</t>
  </si>
  <si>
    <t>47</t>
  </si>
  <si>
    <t>49</t>
  </si>
  <si>
    <t>46</t>
  </si>
  <si>
    <t>Utility</t>
  </si>
  <si>
    <t>Attack</t>
  </si>
  <si>
    <t>Mandatory Quest</t>
  </si>
  <si>
    <t>Choose 1 of the following to take from the supply: 4 gold, 2 oj, 2 bl, 1 pu, 1 wh</t>
  </si>
  <si>
    <t>take 4 gold from the supply and choose 1 opponent.  That opponent takes 2 gold from the supply</t>
  </si>
  <si>
    <t>take 2 any from the supply and place them in your Tavern.  Each opponent takes 1 any from the supply and places it in his or her tavern</t>
  </si>
  <si>
    <t>take 4 gold from the supply.  Each opponent can choose to pay you 4 gold to score 4 VP</t>
  </si>
  <si>
    <t>pay 2 gold.  Choose an aciton space containing an opponent's Agent.  You use that space's action as though you had assigned an Agent to it.</t>
  </si>
  <si>
    <t>Return 1 of your assigned Agent to your pool</t>
  </si>
  <si>
    <t>Choose 1 of your Agent assigned to Waterdeep Harbor.  Return it to your pool, then immediately assign 2 Agents</t>
  </si>
  <si>
    <t>Assign 1 of your unused Agent to a Building in Builder's Hall.  You immediately use the effect of that Building as though you controlled it.</t>
  </si>
  <si>
    <t>Discard a Building under you control that currently has no Agent assigned to it.  Then choose 1 Building in Builder's Hall and putit in play under your control at no cost.  (Replace that Building afterward.)</t>
  </si>
  <si>
    <t>Remove any from an opponent's Tavern and the place it in your Tavern</t>
  </si>
  <si>
    <t>Each opponent removes 1 oj from his or her Tavern and returns it to the supply.  For each opponent that could not do so, take 1 oj from the supply and place it in your Tavern.</t>
  </si>
  <si>
    <t>Take 2 oj from the supply and place it in your Tavern.  Choose 1 opponent.  That opponent takes 1 oj from the supply and places it in his or her Tavern</t>
  </si>
  <si>
    <t>Take 2 bl from the supply and place it in your Tavern.  Choose 1 opponent.  That opponent takes 1 bl from the supply and places it in his or her Tavern</t>
  </si>
  <si>
    <t>Take 2 wh from the supply and place it in your Tavern.  Choose 1 opponent.  That opponent takes 1 wh from the supply and places it in his or her Tavern</t>
  </si>
  <si>
    <t>Take 2 pu from the supply and place it in your Tavern.  Choose 1 opponent.  That opponent takes 1 pu from the supply and places it in his or her Tavern</t>
  </si>
  <si>
    <t>Take 2 bl from the supply and place it in your Tavern.  Each opponent can choose to give you 1 bl once to score 3 VP (Place it in your Tavern.)</t>
  </si>
  <si>
    <t>Take 2 oj from the supply and place it in your Tavern.  Each opponent can choose to give you 1 oj once to score 3 VP (Place it in your Tavern.)</t>
  </si>
  <si>
    <t>Take 1 wh from the supply and place it in your Tavern.  Each opponent can choose to give you 1 wh once to score 5 VP (Place it in your Tavern.)</t>
  </si>
  <si>
    <t>Take 1 pu from the supply and place it in your Tavern.  Each opponent can choose to give you 1 pu once to score 5 VP (Place it in your Tavern.)</t>
  </si>
  <si>
    <t>discard an uncompleted Quest.  Score 6 VP.  Each opponent can choose to discard un uncompleted Quest to score 3 VP (You can discard a Mandatory Quest in this way)</t>
  </si>
  <si>
    <t>Choose a Quest type: Arcana, Commerce, Piety, Skullduggery, or Warfare.  Draw and reveal Quests until you reveal a card of the choosen type.  Keep that Quest and discard the rest.</t>
  </si>
  <si>
    <t>Draw a Quest from the deck equal to the number of players.  Keep one and pass the remaining Quests to the player on your left.  Each player, in turn, chooses 1 Quest to keep, and passes the rest to the left until every player has taken a Quest.</t>
  </si>
  <si>
    <t>Each opponent removes 1 pu from his or her Tavern and returns it to the supply.  For each opponent that could not do so, draw 1 Intrigue</t>
  </si>
  <si>
    <t>Each opponent removes 1 bl from his or her Tavern and returns it to the supply.  For each opponent that could not do so, take 2 gold from the supply and place it in your Tavern.</t>
  </si>
  <si>
    <t>Each opponent removes 1 wh from his or her Tavern and returns it to the supply.  For each opponent that could not do so, you score 2 VP</t>
  </si>
  <si>
    <t>1 wh + 1 oj + 1 bl = 2 VP</t>
  </si>
  <si>
    <t>1 wh + 2 bl = 2 VP</t>
  </si>
  <si>
    <t>2 wh + 1 oj = 4 VP</t>
  </si>
  <si>
    <t>2 oj + 1 pu = 2 VP</t>
  </si>
  <si>
    <t>1 oj + 1 bl + 1 pu = 2 VP</t>
  </si>
  <si>
    <t>1 wh + 1 oj + 1 pu = 4 VP</t>
  </si>
  <si>
    <t>&gt;&gt; Many thanks to Rodney Thompson, Peter Lee, and everyone concerned for this great game!</t>
  </si>
  <si>
    <t>wh = white - cleric</t>
  </si>
  <si>
    <t>oj = orange = fighter</t>
  </si>
  <si>
    <t>bl = black = rogue</t>
  </si>
  <si>
    <t>pu = purple = wizard</t>
  </si>
  <si>
    <t>Expansion</t>
  </si>
  <si>
    <t>Quest Type</t>
  </si>
  <si>
    <t>Quest Name</t>
  </si>
  <si>
    <t>Costs</t>
  </si>
  <si>
    <t>Rewards</t>
  </si>
  <si>
    <t>Estimated Actions</t>
  </si>
  <si>
    <t>Net Cost - Estimated Actions</t>
  </si>
  <si>
    <t>Current Turn</t>
  </si>
  <si>
    <t>No Bonus</t>
  </si>
  <si>
    <t>4 Point Bonus</t>
  </si>
  <si>
    <t>Median:</t>
  </si>
  <si>
    <t>Base</t>
  </si>
  <si>
    <t>Estimated Action Cost:</t>
  </si>
  <si>
    <t>Corruption</t>
  </si>
  <si>
    <t>Actions</t>
  </si>
  <si>
    <t>any</t>
  </si>
  <si>
    <t>Estimated Building Points per Round</t>
  </si>
  <si>
    <t>Undermountain</t>
  </si>
  <si>
    <t>Deal With the Black Viper</t>
  </si>
  <si>
    <t>Establish Wizard Academy</t>
  </si>
  <si>
    <t>Explore Trobriand's Graveyard</t>
  </si>
  <si>
    <t>Resurrect Dead Wizards</t>
  </si>
  <si>
    <t>Study in the Librarium</t>
  </si>
  <si>
    <t>Survive a Meeting With Halaster</t>
  </si>
  <si>
    <t>As you draw each intrigue card from this quest you may play it immediately</t>
  </si>
  <si>
    <t>Whenever you take an Arcana Quest, take purple from the supply</t>
  </si>
  <si>
    <t>After you take an action that allows you to play any intrigue card, draw an intrigue card.  You can play that card immediately without taking an action.</t>
  </si>
  <si>
    <t>Draw an intrigue card for each purple you used to complete this quest</t>
  </si>
  <si>
    <t>Obtain Builders' Plans</t>
  </si>
  <si>
    <t>Once per turn you may assign a worker to a building in the Builder's Hall.  You immediately use the effect of the building as though you controlled it.</t>
  </si>
  <si>
    <t>Ransack Whitehelm's Tomb</t>
  </si>
  <si>
    <t>Recruit for City Watch (base card)</t>
  </si>
  <si>
    <t>Recruit for City Watch (+ optional costs)</t>
  </si>
  <si>
    <t>Sponsor Bounty Hunters</t>
  </si>
  <si>
    <t>Optional cost to get different rewards</t>
  </si>
  <si>
    <t>Whenever you take a Commerce Quest, take 4 gold</t>
  </si>
  <si>
    <t>Steal Gems from the Bone Throne</t>
  </si>
  <si>
    <t>Threaten the Builders' Guilds</t>
  </si>
  <si>
    <t>Diplomatic Mission to Suzail</t>
  </si>
  <si>
    <t>You may complete face-up quests at Cliffwatch Inn as though they were active quests.</t>
  </si>
  <si>
    <t>Establish Temple to Ibrandul</t>
  </si>
  <si>
    <t>Take all quests from Cliffwatch Inn</t>
  </si>
  <si>
    <t>Plunder the Island Temple</t>
  </si>
  <si>
    <t>Rescue Clerics of Tymora</t>
  </si>
  <si>
    <t>Root Out Loviatar's Faithful</t>
  </si>
  <si>
    <t>+2 points for each white used to fulfill this quest</t>
  </si>
  <si>
    <t>Sanctify a Desecrated Temple</t>
  </si>
  <si>
    <t>Whenever you take a Piety Quest take white</t>
  </si>
  <si>
    <t>Whenever you take a Skullduggery Quest, take bb</t>
  </si>
  <si>
    <t>Ally with Xanathar's Guild</t>
  </si>
  <si>
    <t>Break Into Blackstaff Tower</t>
  </si>
  <si>
    <t>Defend the Lanceboard Room</t>
  </si>
  <si>
    <t>Impersonate Tax Collector</t>
  </si>
  <si>
    <t>Whenever you assign a worker to a building you control, you also gain the owner benefit</t>
  </si>
  <si>
    <t>Survive Arcturia's Transformation</t>
  </si>
  <si>
    <t>Unleaseh Crime Spree (base card)</t>
  </si>
  <si>
    <t>Unleaseh Crime Spree (+ optional costs)</t>
  </si>
  <si>
    <t>Battle in Muiral's Gauntlet</t>
  </si>
  <si>
    <t>Defend the Yawning Portal</t>
  </si>
  <si>
    <t>Return up to 3 workers to your pool</t>
  </si>
  <si>
    <t>Destroy a Temple of Selvetarm (base card)</t>
  </si>
  <si>
    <t>Destroy a Temple of Selvetarm (+ optional costs)</t>
  </si>
  <si>
    <t>Recover the Flame of the North</t>
  </si>
  <si>
    <t>Whenever you take a Warfare Quest, take oo</t>
  </si>
  <si>
    <t>Seize Citadel of the Bloody Hand</t>
  </si>
  <si>
    <t>Whenever you complete a Quest you may return any resource used on that quest</t>
  </si>
  <si>
    <t>Wake the Six Sleepers</t>
  </si>
  <si>
    <t>Skullport</t>
  </si>
  <si>
    <t>Establish Cult Cell</t>
  </si>
  <si>
    <t>Investigate Thayan Vessel</t>
  </si>
  <si>
    <t>Recruit Academy Castoffs</t>
  </si>
  <si>
    <t>Whenever you assign a worker to Blackstaff Tower you can take p and a corruption</t>
  </si>
  <si>
    <t>Renew Guards and Wards</t>
  </si>
  <si>
    <t>Seal and Entrance to Skullport</t>
  </si>
  <si>
    <t>Uncover Forbidden Lore</t>
  </si>
  <si>
    <t>Whenever you assign a worker to Waterdeep Harbor you can play up to 2 additional intrigue cards, if you do take a corruption</t>
  </si>
  <si>
    <t>Defame Rival Business</t>
  </si>
  <si>
    <t>Whenever you purchase a building, you can remove a corruption from your tavern and place it on an action space</t>
  </si>
  <si>
    <t>Donate to the City</t>
  </si>
  <si>
    <t>Extort Aurora</t>
  </si>
  <si>
    <t>Whenever you assign a worker to Aurora's Realms Shop you can take another 4 gold and corruption</t>
  </si>
  <si>
    <t>Fund Alchemical Research</t>
  </si>
  <si>
    <t>Fund Pilgrimage of Waukeen</t>
  </si>
  <si>
    <t>Pay Fines</t>
  </si>
  <si>
    <t>Banish Evil Spirits</t>
  </si>
  <si>
    <t>Enter the Tower of Seven Woes</t>
  </si>
  <si>
    <t>Give Honor to Mask</t>
  </si>
  <si>
    <t>Whenever you assign a worker to the Plinth you may take w and corruption</t>
  </si>
  <si>
    <t>Institute Reforms</t>
  </si>
  <si>
    <t>Protect Converts to Eilistraee</t>
  </si>
  <si>
    <t>Whenever you return any corruption you may return another corruption</t>
  </si>
  <si>
    <t>Sanctify Temple to Oghmaa</t>
  </si>
  <si>
    <t>Bury the Bodies</t>
  </si>
  <si>
    <t>Expand Guild Activities</t>
  </si>
  <si>
    <t>Whenever you assign a worker to the Grinning Lion Tavern you can take an additional bb and corruption</t>
  </si>
  <si>
    <t>Rescue of Victim from the Skulls</t>
  </si>
  <si>
    <t>Save Kidnapped Nobles</t>
  </si>
  <si>
    <t>Shelter Zhentarim Agents</t>
  </si>
  <si>
    <t>Once on any turn, whenever you gain any corruption draw an intrigue card</t>
  </si>
  <si>
    <t>Swindle the Builder's Guilds</t>
  </si>
  <si>
    <t>Assassinate Rivals</t>
  </si>
  <si>
    <t>Each opponent returns any resource</t>
  </si>
  <si>
    <t>Fix the Champion's Games</t>
  </si>
  <si>
    <t>Whenever you assign a worker to the Field of Triumph you can take another ojoj and a corruption</t>
  </si>
  <si>
    <t>Improve Prison Security</t>
  </si>
  <si>
    <t>Patrol Dock Ward</t>
  </si>
  <si>
    <t>Train Castle Guards</t>
  </si>
  <si>
    <t>Whenever a player takes the first marker you and that player also take oj</t>
  </si>
  <si>
    <t>Uncover Drow Plot</t>
  </si>
  <si>
    <t>Players</t>
  </si>
  <si>
    <t>Configuration Options</t>
  </si>
  <si>
    <t>Average Quest Values</t>
  </si>
  <si>
    <t>Estimated Bonus Actions</t>
  </si>
  <si>
    <t>Estimated Bonus Points</t>
  </si>
  <si>
    <t>Estimated Value of 1 Action in Points</t>
  </si>
  <si>
    <t>Average Percent Rank</t>
  </si>
  <si>
    <t>Average Points</t>
  </si>
  <si>
    <t>"Estimated Actions" - I've attempted to normalize rewards from various cards in terms of how many actions they grant (where an action is defined to be what a square on the basic board does).  For some quests which provide ongoing benefits I've tried to estimate the value of those benefits over time based on the current game turn.</t>
  </si>
  <si>
    <t>Recruit Lieutenant</t>
  </si>
  <si>
    <t>Immediately put all face-up Buildings in Builder's Hall in play under your control at no cost.</t>
  </si>
  <si>
    <t>Put 2 face up Buildings in the Builder's Hall in play under your control</t>
  </si>
  <si>
    <t>Estimated Intrigue Cards Played per Turn</t>
  </si>
  <si>
    <t>Based on the initial spreadsheet put up by ackmondual, with contributions from hexabit and Kenran.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</si>
</sst>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0" borderId="0" xfId="0" applyAlignment="1">
      <alignment wrapText="1"/>
    </xf>
    <xf numFmtId="0" fontId="4" fillId="0" borderId="0" xfId="0" applyFont="1"/>
    <xf numFmtId="9" fontId="0" fillId="0" borderId="0" xfId="2" applyFont="1"/>
    <xf numFmtId="2" fontId="0" fillId="0" borderId="0" xfId="0" applyNumberFormat="1"/>
    <xf numFmtId="0" fontId="4" fillId="0" borderId="0" xfId="0" applyFont="1" applyAlignment="1">
      <alignment wrapText="1"/>
    </xf>
    <xf numFmtId="0" fontId="4" fillId="0" borderId="12" xfId="0" applyFont="1" applyBorder="1"/>
    <xf numFmtId="0" fontId="0" fillId="0" borderId="13" xfId="0" applyBorder="1"/>
    <xf numFmtId="0" fontId="4" fillId="0" borderId="14" xfId="0" applyFont="1" applyBorder="1"/>
    <xf numFmtId="0" fontId="0" fillId="0" borderId="15" xfId="0" applyBorder="1"/>
    <xf numFmtId="0" fontId="4" fillId="0" borderId="16" xfId="0" applyFon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2" fillId="0" borderId="0" xfId="0" applyFont="1" applyAlignment="1">
      <alignment wrapText="1"/>
    </xf>
    <xf numFmtId="0" fontId="2" fillId="0" borderId="20" xfId="0" applyFont="1" applyBorder="1" applyAlignment="1">
      <alignment horizontal="right"/>
    </xf>
    <xf numFmtId="2" fontId="0" fillId="0" borderId="21" xfId="0" applyNumberFormat="1" applyBorder="1"/>
    <xf numFmtId="2" fontId="0" fillId="0" borderId="22" xfId="0" applyNumberFormat="1" applyBorder="1"/>
    <xf numFmtId="0" fontId="2" fillId="0" borderId="14" xfId="0" applyFont="1" applyBorder="1" applyAlignment="1">
      <alignment horizontal="right"/>
    </xf>
    <xf numFmtId="2" fontId="0" fillId="0" borderId="23" xfId="0" applyNumberFormat="1" applyBorder="1"/>
    <xf numFmtId="2" fontId="0" fillId="0" borderId="15" xfId="0" applyNumberFormat="1" applyBorder="1"/>
    <xf numFmtId="0" fontId="0" fillId="0" borderId="24" xfId="0" applyBorder="1"/>
    <xf numFmtId="0" fontId="0" fillId="0" borderId="25" xfId="0" applyBorder="1"/>
    <xf numFmtId="0" fontId="4" fillId="0" borderId="24" xfId="0" applyFont="1" applyBorder="1" applyAlignment="1">
      <alignment wrapText="1"/>
    </xf>
    <xf numFmtId="0" fontId="2" fillId="0" borderId="3" xfId="0" applyFont="1" applyBorder="1"/>
    <xf numFmtId="0" fontId="0" fillId="0" borderId="3" xfId="0" applyBorder="1"/>
    <xf numFmtId="0" fontId="4" fillId="0" borderId="0" xfId="0" quotePrefix="1" applyFont="1"/>
    <xf numFmtId="0" fontId="2" fillId="0" borderId="1" xfId="0" applyFont="1" applyBorder="1" applyAlignment="1">
      <alignment wrapText="1"/>
    </xf>
    <xf numFmtId="0" fontId="2" fillId="0" borderId="19" xfId="0" applyFont="1" applyBorder="1"/>
    <xf numFmtId="0" fontId="2" fillId="0" borderId="29" xfId="0" applyFont="1" applyBorder="1"/>
    <xf numFmtId="0" fontId="2" fillId="0" borderId="26" xfId="0" applyFont="1" applyBorder="1"/>
    <xf numFmtId="9" fontId="0" fillId="0" borderId="11" xfId="2" applyFont="1" applyBorder="1"/>
    <xf numFmtId="0" fontId="2" fillId="0" borderId="9" xfId="0" applyFont="1" applyBorder="1" applyAlignment="1">
      <alignment horizontal="right"/>
    </xf>
    <xf numFmtId="9" fontId="0" fillId="0" borderId="13" xfId="2" applyFont="1" applyBorder="1"/>
    <xf numFmtId="0" fontId="2" fillId="0" borderId="10" xfId="0" applyFont="1" applyBorder="1" applyAlignment="1">
      <alignment horizontal="right"/>
    </xf>
    <xf numFmtId="9" fontId="0" fillId="0" borderId="23" xfId="2" applyFont="1" applyBorder="1"/>
    <xf numFmtId="9" fontId="0" fillId="0" borderId="15" xfId="2" applyFont="1" applyBorder="1"/>
    <xf numFmtId="43" fontId="0" fillId="0" borderId="11" xfId="1" applyFont="1" applyBorder="1"/>
    <xf numFmtId="0" fontId="0" fillId="0" borderId="7" xfId="0" applyBorder="1"/>
    <xf numFmtId="43" fontId="0" fillId="0" borderId="23" xfId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5"/>
  <sheetViews>
    <sheetView tabSelected="1" zoomScale="80" zoomScaleNormal="80" workbookViewId="0">
      <pane ySplit="12" topLeftCell="A104" activePane="bottomLeft" state="frozen"/>
      <selection pane="bottomLeft" activeCell="B7" sqref="B7"/>
    </sheetView>
  </sheetViews>
  <sheetFormatPr defaultRowHeight="13.2" x14ac:dyDescent="0.25"/>
  <cols>
    <col min="1" max="1" width="13.5546875" bestFit="1" customWidth="1"/>
    <col min="2" max="2" width="35.88671875" bestFit="1" customWidth="1"/>
    <col min="3" max="3" width="15.44140625" customWidth="1"/>
    <col min="4" max="8" width="4.44140625" customWidth="1"/>
    <col min="9" max="9" width="5" customWidth="1"/>
    <col min="10" max="10" width="16.44140625" bestFit="1" customWidth="1"/>
    <col min="11" max="11" width="12.109375" customWidth="1"/>
    <col min="12" max="17" width="5" customWidth="1"/>
    <col min="18" max="18" width="6.5546875" customWidth="1"/>
    <col min="19" max="19" width="7.109375" bestFit="1" customWidth="1"/>
    <col min="20" max="21" width="7.109375" customWidth="1"/>
    <col min="23" max="23" width="14.88671875" customWidth="1"/>
    <col min="24" max="24" width="11.6640625" customWidth="1"/>
    <col min="25" max="25" width="11.88671875" customWidth="1"/>
    <col min="26" max="26" width="16" customWidth="1"/>
    <col min="27" max="27" width="13.44140625" customWidth="1"/>
    <col min="28" max="28" width="17.6640625" bestFit="1" customWidth="1"/>
    <col min="29" max="29" width="12.33203125" bestFit="1" customWidth="1"/>
    <col min="30" max="30" width="12.6640625" bestFit="1" customWidth="1"/>
  </cols>
  <sheetData>
    <row r="1" spans="1:30" ht="13.8" thickBot="1" x14ac:dyDescent="0.3"/>
    <row r="2" spans="1:30" ht="13.8" thickBot="1" x14ac:dyDescent="0.3">
      <c r="Z2" s="44"/>
      <c r="AA2" s="54" t="s">
        <v>316</v>
      </c>
      <c r="AB2" s="53"/>
      <c r="AC2" s="52" t="s">
        <v>315</v>
      </c>
      <c r="AD2" s="53"/>
    </row>
    <row r="3" spans="1:30" x14ac:dyDescent="0.25">
      <c r="B3" s="55" t="s">
        <v>310</v>
      </c>
      <c r="C3" s="56"/>
      <c r="Z3" s="38" t="s">
        <v>64</v>
      </c>
      <c r="AA3" s="43">
        <f>AVERAGEIF(C$13:C$135,Z3,AA$13:AA$135)</f>
        <v>3.4870780263195118</v>
      </c>
      <c r="AB3" s="43">
        <f>AVERAGEIF(C$13:C$135,Z3,AB$13:AB$135)</f>
        <v>4.8931083650897902</v>
      </c>
      <c r="AC3" s="37">
        <f>AVERAGEIF(C$13:C$135,Z3,AC$13:AC$135)</f>
        <v>0.49791666666666673</v>
      </c>
      <c r="AD3" s="39">
        <f>AVERAGEIF(C$13:C$135,Z3,AD$13:AD$135)</f>
        <v>0.53583333333333327</v>
      </c>
    </row>
    <row r="4" spans="1:30" x14ac:dyDescent="0.25">
      <c r="B4" s="13" t="s">
        <v>207</v>
      </c>
      <c r="C4" s="14">
        <v>5</v>
      </c>
      <c r="Z4" s="38" t="s">
        <v>60</v>
      </c>
      <c r="AA4" s="43">
        <f t="shared" ref="AA4:AA7" si="0">AVERAGEIF(C$13:C$135,Z4,AA$13:AA$135)</f>
        <v>3.5903949579831931</v>
      </c>
      <c r="AB4" s="43">
        <f t="shared" ref="AB4:AB7" si="1">AVERAGEIF(C$13:C$135,Z4,AB$13:AB$135)</f>
        <v>4.9194369747899156</v>
      </c>
      <c r="AC4" s="37">
        <f>AVERAGEIF(C$13:C$135,Z4,AC$13:AC$135)</f>
        <v>0.47480000000000006</v>
      </c>
      <c r="AD4" s="39">
        <f>AVERAGEIF(C$13:C$135,Z4,AD$13:AD$135)</f>
        <v>0.46320000000000006</v>
      </c>
    </row>
    <row r="5" spans="1:30" x14ac:dyDescent="0.25">
      <c r="B5" s="13" t="s">
        <v>216</v>
      </c>
      <c r="C5" s="14">
        <f>4/3</f>
        <v>1.3333333333333333</v>
      </c>
      <c r="Z5" s="38" t="s">
        <v>63</v>
      </c>
      <c r="AA5" s="43">
        <f t="shared" si="0"/>
        <v>3.4308070022800696</v>
      </c>
      <c r="AB5" s="43">
        <f t="shared" si="1"/>
        <v>5.035818340158305</v>
      </c>
      <c r="AC5" s="37">
        <f>AVERAGEIF(C$13:C$135,Z5,AC$13:AC$135)</f>
        <v>0.49291666666666673</v>
      </c>
      <c r="AD5" s="39">
        <f>AVERAGEIF(C$13:C$135,Z5,AD$13:AD$135)</f>
        <v>0.50541666666666651</v>
      </c>
    </row>
    <row r="6" spans="1:30" x14ac:dyDescent="0.25">
      <c r="B6" s="13" t="s">
        <v>314</v>
      </c>
      <c r="C6" s="14">
        <v>5</v>
      </c>
      <c r="Z6" s="38" t="s">
        <v>62</v>
      </c>
      <c r="AA6" s="43">
        <f t="shared" si="0"/>
        <v>4.1491358802411442</v>
      </c>
      <c r="AB6" s="43">
        <f t="shared" si="1"/>
        <v>5.6721058440532115</v>
      </c>
      <c r="AC6" s="37">
        <f>AVERAGEIF(C$13:C$135,Z6,AC$13:AC$135)</f>
        <v>0.44559999999999989</v>
      </c>
      <c r="AD6" s="39">
        <f>AVERAGEIF(C$13:C$135,Z6,AD$13:AD$135)</f>
        <v>0.42479999999999996</v>
      </c>
    </row>
    <row r="7" spans="1:30" ht="13.8" thickBot="1" x14ac:dyDescent="0.3">
      <c r="B7" s="13" t="s">
        <v>321</v>
      </c>
      <c r="C7" s="14">
        <v>1.25</v>
      </c>
      <c r="Z7" s="40" t="s">
        <v>61</v>
      </c>
      <c r="AA7" s="45">
        <f t="shared" si="0"/>
        <v>3.3812842891542583</v>
      </c>
      <c r="AB7" s="45">
        <f t="shared" si="1"/>
        <v>4.7255716742837484</v>
      </c>
      <c r="AC7" s="41">
        <f>AVERAGEIF(C$13:C$135,Z7,AC$13:AC$135)</f>
        <v>0.45960000000000006</v>
      </c>
      <c r="AD7" s="42">
        <f>AVERAGEIF(C$13:C$135,Z7,AD$13:AD$135)</f>
        <v>0.46760000000000007</v>
      </c>
    </row>
    <row r="8" spans="1:30" ht="13.8" thickBot="1" x14ac:dyDescent="0.3">
      <c r="B8" s="15" t="s">
        <v>309</v>
      </c>
      <c r="C8" s="16">
        <v>4</v>
      </c>
    </row>
    <row r="9" spans="1:30" ht="13.8" thickBot="1" x14ac:dyDescent="0.3">
      <c r="B9" s="9"/>
      <c r="Z9" s="46" t="s">
        <v>311</v>
      </c>
      <c r="AA9" s="47"/>
      <c r="AB9" s="48"/>
    </row>
    <row r="10" spans="1:30" ht="16.2" thickBot="1" x14ac:dyDescent="0.35">
      <c r="B10" s="9"/>
      <c r="D10" s="57" t="s">
        <v>203</v>
      </c>
      <c r="E10" s="50"/>
      <c r="F10" s="50"/>
      <c r="G10" s="50"/>
      <c r="H10" s="50"/>
      <c r="I10" s="58"/>
      <c r="K10" s="49" t="s">
        <v>204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1"/>
      <c r="Z10" s="21" t="s">
        <v>210</v>
      </c>
      <c r="AA10" s="22">
        <f>MEDIAN(AA13:AA135)</f>
        <v>3.5555555555555554</v>
      </c>
      <c r="AB10" s="23">
        <f>MEDIAN(AB13:AB135)</f>
        <v>4.8</v>
      </c>
    </row>
    <row r="11" spans="1:30" ht="26.25" customHeight="1" thickBot="1" x14ac:dyDescent="0.3">
      <c r="C11" s="17" t="s">
        <v>212</v>
      </c>
      <c r="D11" s="18">
        <v>1</v>
      </c>
      <c r="E11" s="18">
        <v>0.5</v>
      </c>
      <c r="F11" s="18">
        <v>0.5</v>
      </c>
      <c r="G11" s="18">
        <v>1</v>
      </c>
      <c r="H11" s="18">
        <f>MIN(D11:G11)</f>
        <v>0.5</v>
      </c>
      <c r="I11" s="19">
        <v>0.25</v>
      </c>
      <c r="K11" s="29" t="s">
        <v>212</v>
      </c>
      <c r="L11" s="27">
        <v>1</v>
      </c>
      <c r="M11" s="27">
        <v>0.5</v>
      </c>
      <c r="N11" s="27">
        <v>0.5</v>
      </c>
      <c r="O11" s="27">
        <v>1</v>
      </c>
      <c r="P11" s="27">
        <f>MAX(L11:O11)</f>
        <v>1</v>
      </c>
      <c r="Q11" s="27">
        <v>0.25</v>
      </c>
      <c r="R11" s="27">
        <v>0.5</v>
      </c>
      <c r="S11" s="27">
        <v>0.5</v>
      </c>
      <c r="T11" s="27">
        <v>-1</v>
      </c>
      <c r="U11" s="28">
        <v>1</v>
      </c>
      <c r="Y11" s="2"/>
      <c r="Z11" s="24"/>
      <c r="AA11" s="25"/>
      <c r="AB11" s="26"/>
    </row>
    <row r="12" spans="1:30" s="1" customFormat="1" ht="39.6" x14ac:dyDescent="0.25">
      <c r="A12" s="1" t="s">
        <v>200</v>
      </c>
      <c r="B12" s="1" t="s">
        <v>202</v>
      </c>
      <c r="C12" s="1" t="s">
        <v>201</v>
      </c>
      <c r="D12" s="36" t="s">
        <v>66</v>
      </c>
      <c r="E12" s="34" t="s">
        <v>65</v>
      </c>
      <c r="F12" s="34" t="s">
        <v>67</v>
      </c>
      <c r="G12" s="34" t="s">
        <v>68</v>
      </c>
      <c r="H12" s="34" t="s">
        <v>215</v>
      </c>
      <c r="I12" s="35" t="s">
        <v>1</v>
      </c>
      <c r="J12" s="20" t="s">
        <v>205</v>
      </c>
      <c r="K12" s="30" t="s">
        <v>2</v>
      </c>
      <c r="L12" s="1" t="s">
        <v>66</v>
      </c>
      <c r="M12" s="1" t="s">
        <v>65</v>
      </c>
      <c r="N12" s="1" t="s">
        <v>67</v>
      </c>
      <c r="O12" s="1" t="s">
        <v>68</v>
      </c>
      <c r="P12" s="1" t="s">
        <v>215</v>
      </c>
      <c r="Q12" s="1" t="s">
        <v>1</v>
      </c>
      <c r="R12" s="1" t="s">
        <v>69</v>
      </c>
      <c r="S12" s="1" t="s">
        <v>72</v>
      </c>
      <c r="T12" s="1" t="s">
        <v>213</v>
      </c>
      <c r="U12" s="1" t="s">
        <v>214</v>
      </c>
      <c r="V12" s="1" t="s">
        <v>84</v>
      </c>
      <c r="W12" s="20" t="s">
        <v>205</v>
      </c>
      <c r="X12" s="20" t="s">
        <v>312</v>
      </c>
      <c r="Y12" s="33" t="s">
        <v>313</v>
      </c>
      <c r="Z12" s="20" t="s">
        <v>206</v>
      </c>
      <c r="AA12" s="1" t="s">
        <v>208</v>
      </c>
      <c r="AB12" s="20" t="s">
        <v>209</v>
      </c>
      <c r="AC12" s="1" t="s">
        <v>208</v>
      </c>
      <c r="AD12" s="20" t="s">
        <v>209</v>
      </c>
    </row>
    <row r="13" spans="1:30" x14ac:dyDescent="0.25">
      <c r="A13" s="9" t="s">
        <v>211</v>
      </c>
      <c r="B13" t="s">
        <v>42</v>
      </c>
      <c r="C13" t="s">
        <v>64</v>
      </c>
      <c r="D13" s="31"/>
      <c r="E13">
        <v>1</v>
      </c>
      <c r="G13">
        <v>2</v>
      </c>
      <c r="I13" s="2">
        <v>2</v>
      </c>
      <c r="J13">
        <f t="shared" ref="J13:J44" si="2">0.5+SUMPRODUCT(D13:I13,D$11:I$11)</f>
        <v>3.5</v>
      </c>
      <c r="K13" s="31">
        <v>6</v>
      </c>
      <c r="V13" t="s">
        <v>78</v>
      </c>
      <c r="W13">
        <f t="shared" ref="W13:W44" si="3">SUMPRODUCT(L13:U13,L$11:U$11)</f>
        <v>0</v>
      </c>
      <c r="X13">
        <f>(8-$C$4)*0.5</f>
        <v>1.5</v>
      </c>
      <c r="Y13" s="2"/>
      <c r="Z13">
        <f t="shared" ref="Z13:Z44" si="4">J13-(W13+X13)</f>
        <v>2</v>
      </c>
      <c r="AA13" s="11">
        <f t="shared" ref="AA13:AA44" si="5">IF(Z13&lt;=0,999,(K13+Y13)/(Z13))</f>
        <v>3</v>
      </c>
      <c r="AB13" s="11">
        <f t="shared" ref="AB13:AB44" si="6">IF(Z13&lt;=0,999,(4+K13+Y13)/(Z13))</f>
        <v>5</v>
      </c>
      <c r="AC13" s="10">
        <f t="shared" ref="AC13:AC44" si="7">IFERROR(_xlfn.PERCENTRANK.INC(AA$13:AA$135,AA13,2),"")</f>
        <v>0.22</v>
      </c>
      <c r="AD13" s="10">
        <f t="shared" ref="AD13:AD44" si="8">IFERROR(_xlfn.PERCENTRANK.INC(AB$13:AB$135,AB13,2),"")</f>
        <v>0.6</v>
      </c>
    </row>
    <row r="14" spans="1:30" x14ac:dyDescent="0.25">
      <c r="A14" s="9" t="s">
        <v>217</v>
      </c>
      <c r="B14" s="9" t="s">
        <v>228</v>
      </c>
      <c r="C14" s="9" t="s">
        <v>60</v>
      </c>
      <c r="D14" s="31"/>
      <c r="E14">
        <v>2</v>
      </c>
      <c r="F14">
        <v>2</v>
      </c>
      <c r="G14">
        <v>1</v>
      </c>
      <c r="I14" s="2">
        <v>10</v>
      </c>
      <c r="J14">
        <f t="shared" si="2"/>
        <v>6</v>
      </c>
      <c r="K14" s="31">
        <v>13</v>
      </c>
      <c r="U14">
        <v>0</v>
      </c>
      <c r="V14" s="9" t="s">
        <v>229</v>
      </c>
      <c r="W14">
        <f t="shared" si="3"/>
        <v>0</v>
      </c>
      <c r="X14">
        <f>(8-$C$4)</f>
        <v>3</v>
      </c>
      <c r="Y14" s="2">
        <f>IF(Z14&lt;0,-$C$6*Z14,0)</f>
        <v>0</v>
      </c>
      <c r="Z14">
        <f t="shared" si="4"/>
        <v>3</v>
      </c>
      <c r="AA14" s="11">
        <f t="shared" si="5"/>
        <v>4.333333333333333</v>
      </c>
      <c r="AB14" s="11">
        <f t="shared" si="6"/>
        <v>5.666666666666667</v>
      </c>
      <c r="AC14" s="10">
        <f t="shared" si="7"/>
        <v>0.88</v>
      </c>
      <c r="AD14" s="10">
        <f t="shared" si="8"/>
        <v>0.85</v>
      </c>
    </row>
    <row r="15" spans="1:30" x14ac:dyDescent="0.25">
      <c r="A15" s="9" t="s">
        <v>211</v>
      </c>
      <c r="B15" t="s">
        <v>23</v>
      </c>
      <c r="C15" t="s">
        <v>61</v>
      </c>
      <c r="D15" s="31"/>
      <c r="E15">
        <v>4</v>
      </c>
      <c r="I15" s="2">
        <v>4</v>
      </c>
      <c r="J15">
        <f t="shared" si="2"/>
        <v>3.5</v>
      </c>
      <c r="K15" s="31">
        <v>6</v>
      </c>
      <c r="V15" t="s">
        <v>70</v>
      </c>
      <c r="W15">
        <f t="shared" si="3"/>
        <v>0</v>
      </c>
      <c r="X15">
        <f>(8-$C$4)/2</f>
        <v>1.5</v>
      </c>
      <c r="Y15" s="2"/>
      <c r="Z15">
        <f t="shared" si="4"/>
        <v>2</v>
      </c>
      <c r="AA15" s="11">
        <f t="shared" si="5"/>
        <v>3</v>
      </c>
      <c r="AB15" s="11">
        <f t="shared" si="6"/>
        <v>5</v>
      </c>
      <c r="AC15" s="10">
        <f t="shared" si="7"/>
        <v>0.22</v>
      </c>
      <c r="AD15" s="10">
        <f t="shared" si="8"/>
        <v>0.6</v>
      </c>
    </row>
    <row r="16" spans="1:30" x14ac:dyDescent="0.25">
      <c r="A16" s="9" t="s">
        <v>211</v>
      </c>
      <c r="B16" t="s">
        <v>40</v>
      </c>
      <c r="C16" t="s">
        <v>63</v>
      </c>
      <c r="D16" s="31">
        <v>2</v>
      </c>
      <c r="I16" s="2">
        <v>4</v>
      </c>
      <c r="J16">
        <f t="shared" si="2"/>
        <v>3.5</v>
      </c>
      <c r="K16" s="31">
        <v>5</v>
      </c>
      <c r="V16" t="s">
        <v>87</v>
      </c>
      <c r="W16">
        <f t="shared" si="3"/>
        <v>0</v>
      </c>
      <c r="X16">
        <f>(8-$C$4)/2</f>
        <v>1.5</v>
      </c>
      <c r="Y16" s="2"/>
      <c r="Z16">
        <f t="shared" si="4"/>
        <v>2</v>
      </c>
      <c r="AA16" s="11">
        <f t="shared" si="5"/>
        <v>2.5</v>
      </c>
      <c r="AB16" s="11">
        <f t="shared" si="6"/>
        <v>4.5</v>
      </c>
      <c r="AC16" s="10">
        <f t="shared" si="7"/>
        <v>0.13</v>
      </c>
      <c r="AD16" s="10">
        <f t="shared" si="8"/>
        <v>0.27</v>
      </c>
    </row>
    <row r="17" spans="1:30" x14ac:dyDescent="0.25">
      <c r="A17" s="9" t="s">
        <v>217</v>
      </c>
      <c r="B17" s="9" t="s">
        <v>222</v>
      </c>
      <c r="C17" s="9" t="s">
        <v>64</v>
      </c>
      <c r="D17" s="31"/>
      <c r="F17">
        <v>2</v>
      </c>
      <c r="G17">
        <v>5</v>
      </c>
      <c r="I17" s="2">
        <v>5</v>
      </c>
      <c r="J17">
        <f t="shared" si="2"/>
        <v>7.75</v>
      </c>
      <c r="K17" s="31">
        <v>11</v>
      </c>
      <c r="R17">
        <f>(8-$C$4)*$C$7</f>
        <v>3.75</v>
      </c>
      <c r="V17" s="9" t="s">
        <v>226</v>
      </c>
      <c r="W17">
        <f t="shared" si="3"/>
        <v>1.875</v>
      </c>
      <c r="X17">
        <f>(8-$C$4)*$C$7/2</f>
        <v>1.875</v>
      </c>
      <c r="Y17" s="2">
        <f>IF(Z17&lt;0,-$C$6*Z17,0)</f>
        <v>0</v>
      </c>
      <c r="Z17">
        <f t="shared" si="4"/>
        <v>4</v>
      </c>
      <c r="AA17" s="11">
        <f t="shared" si="5"/>
        <v>2.75</v>
      </c>
      <c r="AB17" s="11">
        <f t="shared" si="6"/>
        <v>3.75</v>
      </c>
      <c r="AC17" s="10">
        <f t="shared" si="7"/>
        <v>0.21</v>
      </c>
      <c r="AD17" s="10">
        <f t="shared" si="8"/>
        <v>0.13</v>
      </c>
    </row>
    <row r="18" spans="1:30" x14ac:dyDescent="0.25">
      <c r="A18" s="9" t="s">
        <v>217</v>
      </c>
      <c r="B18" s="9" t="s">
        <v>264</v>
      </c>
      <c r="C18" s="9" t="s">
        <v>61</v>
      </c>
      <c r="D18" s="31">
        <v>1</v>
      </c>
      <c r="E18">
        <v>4</v>
      </c>
      <c r="G18">
        <v>2</v>
      </c>
      <c r="I18" s="2"/>
      <c r="J18">
        <f t="shared" si="2"/>
        <v>5.5</v>
      </c>
      <c r="K18" s="31">
        <v>6</v>
      </c>
      <c r="V18" s="9" t="s">
        <v>265</v>
      </c>
      <c r="W18">
        <f t="shared" si="3"/>
        <v>0</v>
      </c>
      <c r="X18">
        <f>(8-$C$4)</f>
        <v>3</v>
      </c>
      <c r="Y18" s="2">
        <f>IF(Z18&lt;0,-$C$6*Z18,0)</f>
        <v>0</v>
      </c>
      <c r="Z18">
        <f t="shared" si="4"/>
        <v>2.5</v>
      </c>
      <c r="AA18" s="11">
        <f t="shared" si="5"/>
        <v>2.4</v>
      </c>
      <c r="AB18" s="11">
        <f t="shared" si="6"/>
        <v>4</v>
      </c>
      <c r="AC18" s="10">
        <f t="shared" si="7"/>
        <v>0.09</v>
      </c>
      <c r="AD18" s="10">
        <f t="shared" si="8"/>
        <v>0.16</v>
      </c>
    </row>
    <row r="19" spans="1:30" x14ac:dyDescent="0.25">
      <c r="A19" s="9" t="s">
        <v>211</v>
      </c>
      <c r="B19" t="s">
        <v>51</v>
      </c>
      <c r="C19" t="s">
        <v>63</v>
      </c>
      <c r="D19" s="31">
        <v>2</v>
      </c>
      <c r="E19">
        <v>1</v>
      </c>
      <c r="F19">
        <v>1</v>
      </c>
      <c r="G19">
        <v>1</v>
      </c>
      <c r="I19" s="2"/>
      <c r="J19">
        <f t="shared" si="2"/>
        <v>4.5</v>
      </c>
      <c r="K19" s="31">
        <v>0</v>
      </c>
      <c r="P19">
        <v>1</v>
      </c>
      <c r="V19" t="s">
        <v>73</v>
      </c>
      <c r="W19">
        <f t="shared" si="3"/>
        <v>1</v>
      </c>
      <c r="X19">
        <f>(8-$C$4)</f>
        <v>3</v>
      </c>
      <c r="Y19" s="2">
        <f>IF(Z19&lt;0,-$C$6*Z19,0)</f>
        <v>0</v>
      </c>
      <c r="Z19">
        <f t="shared" si="4"/>
        <v>0.5</v>
      </c>
      <c r="AA19" s="11">
        <f t="shared" si="5"/>
        <v>0</v>
      </c>
      <c r="AB19" s="11">
        <f t="shared" si="6"/>
        <v>8</v>
      </c>
      <c r="AC19" s="10">
        <f t="shared" si="7"/>
        <v>0</v>
      </c>
      <c r="AD19" s="10">
        <f t="shared" si="8"/>
        <v>0.97</v>
      </c>
    </row>
    <row r="20" spans="1:30" x14ac:dyDescent="0.25">
      <c r="A20" s="9" t="s">
        <v>211</v>
      </c>
      <c r="B20" s="9" t="s">
        <v>318</v>
      </c>
      <c r="C20" t="s">
        <v>61</v>
      </c>
      <c r="D20" s="31">
        <v>1</v>
      </c>
      <c r="E20">
        <v>5</v>
      </c>
      <c r="F20">
        <v>1</v>
      </c>
      <c r="G20">
        <v>1</v>
      </c>
      <c r="I20" s="2"/>
      <c r="J20">
        <f t="shared" si="2"/>
        <v>5.5</v>
      </c>
      <c r="K20" s="31">
        <v>0</v>
      </c>
      <c r="V20" t="s">
        <v>91</v>
      </c>
      <c r="W20">
        <f t="shared" si="3"/>
        <v>0</v>
      </c>
      <c r="X20">
        <f>(8-$C$4)</f>
        <v>3</v>
      </c>
      <c r="Y20" s="2">
        <f>IF(Z20&lt;0,-$C$6*Z20,0)</f>
        <v>0</v>
      </c>
      <c r="Z20">
        <f t="shared" si="4"/>
        <v>2.5</v>
      </c>
      <c r="AA20" s="11">
        <f t="shared" si="5"/>
        <v>0</v>
      </c>
      <c r="AB20" s="11">
        <f t="shared" si="6"/>
        <v>1.6</v>
      </c>
      <c r="AC20" s="10">
        <f t="shared" si="7"/>
        <v>0</v>
      </c>
      <c r="AD20" s="10">
        <f t="shared" si="8"/>
        <v>0</v>
      </c>
    </row>
    <row r="21" spans="1:30" x14ac:dyDescent="0.25">
      <c r="A21" s="9" t="s">
        <v>217</v>
      </c>
      <c r="B21" s="9" t="s">
        <v>251</v>
      </c>
      <c r="C21" s="9" t="s">
        <v>62</v>
      </c>
      <c r="D21" s="31"/>
      <c r="E21">
        <v>3</v>
      </c>
      <c r="F21">
        <v>6</v>
      </c>
      <c r="G21">
        <v>1</v>
      </c>
      <c r="I21" s="2">
        <v>10</v>
      </c>
      <c r="J21">
        <f t="shared" si="2"/>
        <v>8.5</v>
      </c>
      <c r="K21" s="31">
        <v>12</v>
      </c>
      <c r="P21">
        <v>8</v>
      </c>
      <c r="W21">
        <f t="shared" si="3"/>
        <v>8</v>
      </c>
      <c r="Y21" s="2"/>
      <c r="Z21">
        <f t="shared" si="4"/>
        <v>0.5</v>
      </c>
      <c r="AA21" s="11">
        <f t="shared" si="5"/>
        <v>24</v>
      </c>
      <c r="AB21" s="11">
        <f t="shared" si="6"/>
        <v>32</v>
      </c>
      <c r="AC21" s="10">
        <f t="shared" si="7"/>
        <v>1</v>
      </c>
      <c r="AD21" s="10">
        <f t="shared" si="8"/>
        <v>1</v>
      </c>
    </row>
    <row r="22" spans="1:30" x14ac:dyDescent="0.25">
      <c r="A22" s="9" t="s">
        <v>211</v>
      </c>
      <c r="B22" t="s">
        <v>20</v>
      </c>
      <c r="C22" t="s">
        <v>62</v>
      </c>
      <c r="D22" s="31">
        <v>1</v>
      </c>
      <c r="F22">
        <v>3</v>
      </c>
      <c r="I22" s="2">
        <v>4</v>
      </c>
      <c r="J22">
        <f t="shared" si="2"/>
        <v>4</v>
      </c>
      <c r="K22" s="31">
        <v>6</v>
      </c>
      <c r="V22" t="s">
        <v>79</v>
      </c>
      <c r="W22">
        <f t="shared" si="3"/>
        <v>0</v>
      </c>
      <c r="X22">
        <f>(8-$C$4)/2</f>
        <v>1.5</v>
      </c>
      <c r="Y22" s="2"/>
      <c r="Z22">
        <f t="shared" si="4"/>
        <v>2.5</v>
      </c>
      <c r="AA22" s="11">
        <f t="shared" si="5"/>
        <v>2.4</v>
      </c>
      <c r="AB22" s="11">
        <f t="shared" si="6"/>
        <v>4</v>
      </c>
      <c r="AC22" s="10">
        <f t="shared" si="7"/>
        <v>0.09</v>
      </c>
      <c r="AD22" s="10">
        <f t="shared" si="8"/>
        <v>0.16</v>
      </c>
    </row>
    <row r="23" spans="1:30" x14ac:dyDescent="0.25">
      <c r="A23" s="9" t="s">
        <v>211</v>
      </c>
      <c r="B23" t="s">
        <v>35</v>
      </c>
      <c r="C23" t="s">
        <v>60</v>
      </c>
      <c r="D23" s="31">
        <v>1</v>
      </c>
      <c r="E23">
        <v>1</v>
      </c>
      <c r="F23">
        <v>1</v>
      </c>
      <c r="I23" s="2">
        <v>4</v>
      </c>
      <c r="J23">
        <f t="shared" si="2"/>
        <v>3.5</v>
      </c>
      <c r="K23" s="31">
        <v>9</v>
      </c>
      <c r="N23">
        <v>4</v>
      </c>
      <c r="W23">
        <f t="shared" si="3"/>
        <v>2</v>
      </c>
      <c r="Y23" s="2"/>
      <c r="Z23">
        <f t="shared" si="4"/>
        <v>1.5</v>
      </c>
      <c r="AA23" s="11">
        <f t="shared" si="5"/>
        <v>6</v>
      </c>
      <c r="AB23" s="11">
        <f t="shared" si="6"/>
        <v>8.6666666666666661</v>
      </c>
      <c r="AC23" s="10">
        <f t="shared" si="7"/>
        <v>0.98</v>
      </c>
      <c r="AD23" s="10">
        <f t="shared" si="8"/>
        <v>0.99</v>
      </c>
    </row>
    <row r="24" spans="1:30" x14ac:dyDescent="0.25">
      <c r="A24" s="9" t="s">
        <v>217</v>
      </c>
      <c r="B24" s="9" t="s">
        <v>240</v>
      </c>
      <c r="C24" s="9" t="s">
        <v>63</v>
      </c>
      <c r="D24" s="31">
        <v>3</v>
      </c>
      <c r="F24">
        <v>4</v>
      </c>
      <c r="I24" s="2">
        <v>5</v>
      </c>
      <c r="J24">
        <f t="shared" si="2"/>
        <v>6.75</v>
      </c>
      <c r="K24" s="31">
        <v>11</v>
      </c>
      <c r="L24">
        <v>1</v>
      </c>
      <c r="M24">
        <v>1</v>
      </c>
      <c r="N24">
        <v>1</v>
      </c>
      <c r="O24">
        <v>1</v>
      </c>
      <c r="S24" s="9">
        <f>0.8704*4</f>
        <v>3.4815999999999998</v>
      </c>
      <c r="V24" s="9" t="s">
        <v>241</v>
      </c>
      <c r="W24">
        <f t="shared" si="3"/>
        <v>4.7408000000000001</v>
      </c>
      <c r="Y24" s="2"/>
      <c r="Z24">
        <f t="shared" si="4"/>
        <v>2.0091999999999999</v>
      </c>
      <c r="AA24" s="11">
        <f t="shared" si="5"/>
        <v>5.4748158471033248</v>
      </c>
      <c r="AB24" s="11">
        <f t="shared" si="6"/>
        <v>7.465657973322716</v>
      </c>
      <c r="AC24" s="10">
        <f t="shared" si="7"/>
        <v>0.97</v>
      </c>
      <c r="AD24" s="10">
        <f t="shared" si="8"/>
        <v>0.96</v>
      </c>
    </row>
    <row r="25" spans="1:30" x14ac:dyDescent="0.25">
      <c r="A25" s="9" t="s">
        <v>267</v>
      </c>
      <c r="B25" s="9" t="s">
        <v>296</v>
      </c>
      <c r="C25" s="9" t="s">
        <v>62</v>
      </c>
      <c r="D25" s="31"/>
      <c r="F25">
        <v>6</v>
      </c>
      <c r="G25">
        <v>2</v>
      </c>
      <c r="I25" s="2">
        <v>5</v>
      </c>
      <c r="J25">
        <f t="shared" si="2"/>
        <v>6.75</v>
      </c>
      <c r="K25" s="31">
        <v>9</v>
      </c>
      <c r="M25">
        <v>4</v>
      </c>
      <c r="T25">
        <v>-3</v>
      </c>
      <c r="W25">
        <f t="shared" si="3"/>
        <v>5</v>
      </c>
      <c r="Y25" s="2"/>
      <c r="Z25">
        <f t="shared" si="4"/>
        <v>1.75</v>
      </c>
      <c r="AA25" s="11">
        <f t="shared" si="5"/>
        <v>5.1428571428571432</v>
      </c>
      <c r="AB25" s="11">
        <f t="shared" si="6"/>
        <v>7.4285714285714288</v>
      </c>
      <c r="AC25" s="10">
        <f t="shared" si="7"/>
        <v>0.96</v>
      </c>
      <c r="AD25" s="10">
        <f t="shared" si="8"/>
        <v>0.95</v>
      </c>
    </row>
    <row r="26" spans="1:30" x14ac:dyDescent="0.25">
      <c r="A26" s="9" t="s">
        <v>211</v>
      </c>
      <c r="B26" t="s">
        <v>11</v>
      </c>
      <c r="C26" t="s">
        <v>64</v>
      </c>
      <c r="D26" s="31"/>
      <c r="E26">
        <v>1</v>
      </c>
      <c r="F26">
        <v>1</v>
      </c>
      <c r="G26">
        <v>2</v>
      </c>
      <c r="I26" s="2">
        <v>4</v>
      </c>
      <c r="J26">
        <f t="shared" si="2"/>
        <v>4.5</v>
      </c>
      <c r="K26" s="31">
        <v>6</v>
      </c>
      <c r="O26">
        <v>3</v>
      </c>
      <c r="W26">
        <f t="shared" si="3"/>
        <v>3</v>
      </c>
      <c r="Y26" s="2"/>
      <c r="Z26">
        <f t="shared" si="4"/>
        <v>1.5</v>
      </c>
      <c r="AA26" s="11">
        <f t="shared" si="5"/>
        <v>4</v>
      </c>
      <c r="AB26" s="11">
        <f t="shared" si="6"/>
        <v>6.666666666666667</v>
      </c>
      <c r="AC26" s="10">
        <f t="shared" si="7"/>
        <v>0.67</v>
      </c>
      <c r="AD26" s="10">
        <f t="shared" si="8"/>
        <v>0.94</v>
      </c>
    </row>
    <row r="27" spans="1:30" x14ac:dyDescent="0.25">
      <c r="A27" s="9" t="s">
        <v>211</v>
      </c>
      <c r="B27" t="s">
        <v>47</v>
      </c>
      <c r="C27" t="s">
        <v>63</v>
      </c>
      <c r="D27" s="31">
        <v>2</v>
      </c>
      <c r="G27">
        <v>1</v>
      </c>
      <c r="I27" s="2">
        <v>4</v>
      </c>
      <c r="J27">
        <f t="shared" si="2"/>
        <v>4.5</v>
      </c>
      <c r="K27" s="31">
        <v>6</v>
      </c>
      <c r="M27">
        <v>6</v>
      </c>
      <c r="W27">
        <f t="shared" si="3"/>
        <v>3</v>
      </c>
      <c r="Y27" s="2"/>
      <c r="Z27">
        <f t="shared" si="4"/>
        <v>1.5</v>
      </c>
      <c r="AA27" s="11">
        <f t="shared" si="5"/>
        <v>4</v>
      </c>
      <c r="AB27" s="11">
        <f t="shared" si="6"/>
        <v>6.666666666666667</v>
      </c>
      <c r="AC27" s="10">
        <f t="shared" si="7"/>
        <v>0.67</v>
      </c>
      <c r="AD27" s="10">
        <f t="shared" si="8"/>
        <v>0.94</v>
      </c>
    </row>
    <row r="28" spans="1:30" x14ac:dyDescent="0.25">
      <c r="A28" s="9" t="s">
        <v>217</v>
      </c>
      <c r="B28" s="9" t="s">
        <v>258</v>
      </c>
      <c r="C28" s="9" t="s">
        <v>61</v>
      </c>
      <c r="D28" s="31">
        <v>3</v>
      </c>
      <c r="E28">
        <v>6</v>
      </c>
      <c r="F28">
        <v>1</v>
      </c>
      <c r="G28">
        <v>1</v>
      </c>
      <c r="I28" s="2"/>
      <c r="J28">
        <f t="shared" si="2"/>
        <v>8</v>
      </c>
      <c r="K28" s="31">
        <v>15</v>
      </c>
      <c r="P28">
        <v>2</v>
      </c>
      <c r="U28">
        <v>3</v>
      </c>
      <c r="V28" s="9" t="s">
        <v>259</v>
      </c>
      <c r="W28">
        <f t="shared" si="3"/>
        <v>5</v>
      </c>
      <c r="Y28" s="2"/>
      <c r="Z28">
        <f t="shared" si="4"/>
        <v>3</v>
      </c>
      <c r="AA28" s="11">
        <f t="shared" si="5"/>
        <v>5</v>
      </c>
      <c r="AB28" s="11">
        <f t="shared" si="6"/>
        <v>6.333333333333333</v>
      </c>
      <c r="AC28" s="10">
        <f t="shared" si="7"/>
        <v>0.95</v>
      </c>
      <c r="AD28" s="10">
        <f t="shared" si="8"/>
        <v>0.93</v>
      </c>
    </row>
    <row r="29" spans="1:30" x14ac:dyDescent="0.25">
      <c r="A29" s="9" t="s">
        <v>217</v>
      </c>
      <c r="B29" s="9" t="s">
        <v>218</v>
      </c>
      <c r="C29" s="9" t="s">
        <v>64</v>
      </c>
      <c r="D29" s="31"/>
      <c r="E29">
        <v>1</v>
      </c>
      <c r="F29">
        <v>4</v>
      </c>
      <c r="G29">
        <v>2</v>
      </c>
      <c r="I29" s="2">
        <v>5</v>
      </c>
      <c r="J29">
        <f t="shared" si="2"/>
        <v>6.25</v>
      </c>
      <c r="K29" s="31">
        <v>10</v>
      </c>
      <c r="R29">
        <v>4</v>
      </c>
      <c r="U29">
        <v>2</v>
      </c>
      <c r="V29" s="9" t="s">
        <v>224</v>
      </c>
      <c r="W29">
        <f t="shared" si="3"/>
        <v>4</v>
      </c>
      <c r="Y29" s="2"/>
      <c r="Z29">
        <f t="shared" si="4"/>
        <v>2.25</v>
      </c>
      <c r="AA29" s="11">
        <f t="shared" si="5"/>
        <v>4.4444444444444446</v>
      </c>
      <c r="AB29" s="11">
        <f t="shared" si="6"/>
        <v>6.2222222222222223</v>
      </c>
      <c r="AC29" s="10">
        <f t="shared" si="7"/>
        <v>0.91</v>
      </c>
      <c r="AD29" s="10">
        <f t="shared" si="8"/>
        <v>0.92</v>
      </c>
    </row>
    <row r="30" spans="1:30" x14ac:dyDescent="0.25">
      <c r="A30" s="9" t="s">
        <v>217</v>
      </c>
      <c r="B30" s="9" t="s">
        <v>232</v>
      </c>
      <c r="C30" s="9" t="s">
        <v>60</v>
      </c>
      <c r="D30" s="31">
        <v>1</v>
      </c>
      <c r="G30">
        <v>1</v>
      </c>
      <c r="I30" s="2">
        <v>10</v>
      </c>
      <c r="J30">
        <f t="shared" si="2"/>
        <v>5</v>
      </c>
      <c r="K30" s="31">
        <v>8</v>
      </c>
      <c r="M30">
        <v>3</v>
      </c>
      <c r="N30">
        <v>3</v>
      </c>
      <c r="V30" s="9" t="s">
        <v>234</v>
      </c>
      <c r="W30">
        <f t="shared" si="3"/>
        <v>3</v>
      </c>
      <c r="Y30" s="2"/>
      <c r="Z30">
        <f t="shared" si="4"/>
        <v>2</v>
      </c>
      <c r="AA30" s="11">
        <f t="shared" si="5"/>
        <v>4</v>
      </c>
      <c r="AB30" s="11">
        <f t="shared" si="6"/>
        <v>6</v>
      </c>
      <c r="AC30" s="10">
        <f t="shared" si="7"/>
        <v>0.67</v>
      </c>
      <c r="AD30" s="10">
        <f t="shared" si="8"/>
        <v>0.9</v>
      </c>
    </row>
    <row r="31" spans="1:30" x14ac:dyDescent="0.25">
      <c r="A31" s="9" t="s">
        <v>267</v>
      </c>
      <c r="B31" s="9" t="s">
        <v>284</v>
      </c>
      <c r="C31" s="9" t="s">
        <v>63</v>
      </c>
      <c r="D31" s="31">
        <v>2</v>
      </c>
      <c r="E31">
        <v>2</v>
      </c>
      <c r="G31">
        <v>1</v>
      </c>
      <c r="I31" s="2"/>
      <c r="J31">
        <f t="shared" si="2"/>
        <v>4.5</v>
      </c>
      <c r="K31" s="31">
        <v>5</v>
      </c>
      <c r="P31">
        <v>1</v>
      </c>
      <c r="T31">
        <v>-2</v>
      </c>
      <c r="W31">
        <f t="shared" si="3"/>
        <v>3</v>
      </c>
      <c r="Y31" s="2"/>
      <c r="Z31">
        <f t="shared" si="4"/>
        <v>1.5</v>
      </c>
      <c r="AA31" s="11">
        <f t="shared" si="5"/>
        <v>3.3333333333333335</v>
      </c>
      <c r="AB31" s="11">
        <f t="shared" si="6"/>
        <v>6</v>
      </c>
      <c r="AC31" s="10">
        <f t="shared" si="7"/>
        <v>0.42</v>
      </c>
      <c r="AD31" s="10">
        <f t="shared" si="8"/>
        <v>0.9</v>
      </c>
    </row>
    <row r="32" spans="1:30" x14ac:dyDescent="0.25">
      <c r="A32" s="9" t="s">
        <v>217</v>
      </c>
      <c r="B32" s="9" t="s">
        <v>266</v>
      </c>
      <c r="C32" s="9" t="s">
        <v>61</v>
      </c>
      <c r="D32" s="31">
        <v>3</v>
      </c>
      <c r="F32">
        <v>3</v>
      </c>
      <c r="I32" s="2"/>
      <c r="J32">
        <f t="shared" si="2"/>
        <v>5</v>
      </c>
      <c r="K32" s="31">
        <v>8</v>
      </c>
      <c r="M32">
        <v>6</v>
      </c>
      <c r="W32">
        <f t="shared" si="3"/>
        <v>3</v>
      </c>
      <c r="Y32" s="2"/>
      <c r="Z32">
        <f t="shared" si="4"/>
        <v>2</v>
      </c>
      <c r="AA32" s="11">
        <f t="shared" si="5"/>
        <v>4</v>
      </c>
      <c r="AB32" s="11">
        <f t="shared" si="6"/>
        <v>6</v>
      </c>
      <c r="AC32" s="10">
        <f t="shared" si="7"/>
        <v>0.67</v>
      </c>
      <c r="AD32" s="10">
        <f t="shared" si="8"/>
        <v>0.9</v>
      </c>
    </row>
    <row r="33" spans="1:30" x14ac:dyDescent="0.25">
      <c r="A33" s="9" t="s">
        <v>267</v>
      </c>
      <c r="B33" s="9" t="s">
        <v>306</v>
      </c>
      <c r="C33" s="9" t="s">
        <v>61</v>
      </c>
      <c r="D33" s="31"/>
      <c r="E33">
        <v>2</v>
      </c>
      <c r="G33">
        <v>1</v>
      </c>
      <c r="I33" s="2">
        <v>5</v>
      </c>
      <c r="J33">
        <f t="shared" si="2"/>
        <v>3.75</v>
      </c>
      <c r="K33" s="31">
        <v>10</v>
      </c>
      <c r="V33" s="9" t="s">
        <v>307</v>
      </c>
      <c r="W33">
        <f t="shared" si="3"/>
        <v>0</v>
      </c>
      <c r="X33">
        <f>(8-$C$4)*($C$8-1)/$C$8/2/2</f>
        <v>0.5625</v>
      </c>
      <c r="Y33" s="2"/>
      <c r="Z33">
        <f t="shared" si="4"/>
        <v>3.1875</v>
      </c>
      <c r="AA33" s="11">
        <f t="shared" si="5"/>
        <v>3.1372549019607843</v>
      </c>
      <c r="AB33" s="11">
        <f t="shared" si="6"/>
        <v>4.3921568627450984</v>
      </c>
      <c r="AC33" s="10">
        <f t="shared" si="7"/>
        <v>0.28000000000000003</v>
      </c>
      <c r="AD33" s="10">
        <f t="shared" si="8"/>
        <v>0.25</v>
      </c>
    </row>
    <row r="34" spans="1:30" x14ac:dyDescent="0.25">
      <c r="A34" s="9" t="s">
        <v>217</v>
      </c>
      <c r="B34" s="9" t="s">
        <v>221</v>
      </c>
      <c r="C34" s="9" t="s">
        <v>64</v>
      </c>
      <c r="D34" s="31">
        <v>3</v>
      </c>
      <c r="I34" s="2">
        <v>5</v>
      </c>
      <c r="J34">
        <f t="shared" si="2"/>
        <v>4.75</v>
      </c>
      <c r="K34" s="31">
        <v>6</v>
      </c>
      <c r="O34">
        <v>3</v>
      </c>
      <c r="W34">
        <f t="shared" si="3"/>
        <v>3</v>
      </c>
      <c r="Y34" s="2"/>
      <c r="Z34">
        <f t="shared" si="4"/>
        <v>1.75</v>
      </c>
      <c r="AA34" s="11">
        <f t="shared" si="5"/>
        <v>3.4285714285714284</v>
      </c>
      <c r="AB34" s="11">
        <f t="shared" si="6"/>
        <v>5.7142857142857144</v>
      </c>
      <c r="AC34" s="10">
        <f t="shared" si="7"/>
        <v>0.45</v>
      </c>
      <c r="AD34" s="10">
        <f t="shared" si="8"/>
        <v>0.88</v>
      </c>
    </row>
    <row r="35" spans="1:30" x14ac:dyDescent="0.25">
      <c r="A35" s="9" t="s">
        <v>217</v>
      </c>
      <c r="B35" s="9" t="s">
        <v>254</v>
      </c>
      <c r="C35" s="9" t="s">
        <v>62</v>
      </c>
      <c r="D35" s="31"/>
      <c r="E35">
        <v>6</v>
      </c>
      <c r="I35" s="2">
        <v>5</v>
      </c>
      <c r="J35">
        <f t="shared" si="2"/>
        <v>4.75</v>
      </c>
      <c r="K35" s="31">
        <v>6</v>
      </c>
      <c r="N35">
        <v>6</v>
      </c>
      <c r="W35">
        <f t="shared" si="3"/>
        <v>3</v>
      </c>
      <c r="Y35" s="2"/>
      <c r="Z35">
        <f t="shared" si="4"/>
        <v>1.75</v>
      </c>
      <c r="AA35" s="11">
        <f t="shared" si="5"/>
        <v>3.4285714285714284</v>
      </c>
      <c r="AB35" s="11">
        <f t="shared" si="6"/>
        <v>5.7142857142857144</v>
      </c>
      <c r="AC35" s="10">
        <f t="shared" si="7"/>
        <v>0.45</v>
      </c>
      <c r="AD35" s="10">
        <f t="shared" si="8"/>
        <v>0.88</v>
      </c>
    </row>
    <row r="36" spans="1:30" x14ac:dyDescent="0.25">
      <c r="A36" s="9" t="s">
        <v>267</v>
      </c>
      <c r="B36" s="9" t="s">
        <v>269</v>
      </c>
      <c r="C36" s="9" t="s">
        <v>64</v>
      </c>
      <c r="D36" s="31">
        <v>1</v>
      </c>
      <c r="E36">
        <v>2</v>
      </c>
      <c r="F36">
        <v>2</v>
      </c>
      <c r="G36">
        <v>2</v>
      </c>
      <c r="I36" s="2">
        <v>2</v>
      </c>
      <c r="J36">
        <f t="shared" si="2"/>
        <v>6</v>
      </c>
      <c r="K36" s="31">
        <v>13</v>
      </c>
      <c r="P36">
        <v>2</v>
      </c>
      <c r="R36">
        <v>2</v>
      </c>
      <c r="W36">
        <f t="shared" si="3"/>
        <v>3</v>
      </c>
      <c r="Y36" s="2"/>
      <c r="Z36">
        <f t="shared" si="4"/>
        <v>3</v>
      </c>
      <c r="AA36" s="11">
        <f t="shared" si="5"/>
        <v>4.333333333333333</v>
      </c>
      <c r="AB36" s="11">
        <f t="shared" si="6"/>
        <v>5.666666666666667</v>
      </c>
      <c r="AC36" s="10">
        <f t="shared" si="7"/>
        <v>0.88</v>
      </c>
      <c r="AD36" s="10">
        <f t="shared" si="8"/>
        <v>0.85</v>
      </c>
    </row>
    <row r="37" spans="1:30" x14ac:dyDescent="0.25">
      <c r="A37" s="9" t="s">
        <v>267</v>
      </c>
      <c r="B37" s="9" t="s">
        <v>278</v>
      </c>
      <c r="C37" s="9" t="s">
        <v>60</v>
      </c>
      <c r="D37" s="31">
        <v>2</v>
      </c>
      <c r="G37">
        <v>1</v>
      </c>
      <c r="I37" s="2">
        <v>10</v>
      </c>
      <c r="J37">
        <f t="shared" si="2"/>
        <v>6</v>
      </c>
      <c r="K37" s="31">
        <v>13</v>
      </c>
      <c r="T37">
        <v>-3</v>
      </c>
      <c r="W37">
        <f t="shared" si="3"/>
        <v>3</v>
      </c>
      <c r="Y37" s="2"/>
      <c r="Z37">
        <f t="shared" si="4"/>
        <v>3</v>
      </c>
      <c r="AA37" s="11">
        <f t="shared" si="5"/>
        <v>4.333333333333333</v>
      </c>
      <c r="AB37" s="11">
        <f t="shared" si="6"/>
        <v>5.666666666666667</v>
      </c>
      <c r="AC37" s="10">
        <f t="shared" si="7"/>
        <v>0.88</v>
      </c>
      <c r="AD37" s="10">
        <f t="shared" si="8"/>
        <v>0.85</v>
      </c>
    </row>
    <row r="38" spans="1:30" x14ac:dyDescent="0.25">
      <c r="A38" s="9" t="s">
        <v>267</v>
      </c>
      <c r="B38" s="9" t="s">
        <v>288</v>
      </c>
      <c r="C38" s="9" t="s">
        <v>63</v>
      </c>
      <c r="D38" s="31">
        <v>4</v>
      </c>
      <c r="E38">
        <v>1</v>
      </c>
      <c r="F38">
        <v>1</v>
      </c>
      <c r="I38" s="2">
        <v>2</v>
      </c>
      <c r="J38">
        <f t="shared" si="2"/>
        <v>6</v>
      </c>
      <c r="K38" s="31">
        <v>13</v>
      </c>
      <c r="T38">
        <v>-3</v>
      </c>
      <c r="W38">
        <f t="shared" si="3"/>
        <v>3</v>
      </c>
      <c r="Y38" s="2"/>
      <c r="Z38">
        <f t="shared" si="4"/>
        <v>3</v>
      </c>
      <c r="AA38" s="11">
        <f t="shared" si="5"/>
        <v>4.333333333333333</v>
      </c>
      <c r="AB38" s="11">
        <f t="shared" si="6"/>
        <v>5.666666666666667</v>
      </c>
      <c r="AC38" s="10">
        <f t="shared" si="7"/>
        <v>0.88</v>
      </c>
      <c r="AD38" s="10">
        <f t="shared" si="8"/>
        <v>0.85</v>
      </c>
    </row>
    <row r="39" spans="1:30" x14ac:dyDescent="0.25">
      <c r="A39" s="9" t="s">
        <v>217</v>
      </c>
      <c r="B39" s="9" t="s">
        <v>237</v>
      </c>
      <c r="C39" s="9" t="s">
        <v>60</v>
      </c>
      <c r="D39" s="31"/>
      <c r="E39">
        <v>2</v>
      </c>
      <c r="F39">
        <v>4</v>
      </c>
      <c r="G39">
        <v>2</v>
      </c>
      <c r="I39" s="2">
        <v>10</v>
      </c>
      <c r="J39">
        <f t="shared" si="2"/>
        <v>8</v>
      </c>
      <c r="K39" s="31">
        <v>13</v>
      </c>
      <c r="V39" s="9" t="s">
        <v>319</v>
      </c>
      <c r="W39">
        <f t="shared" si="3"/>
        <v>0</v>
      </c>
      <c r="Y39" s="2">
        <f>($C$4-1)*3/2+(8-$C$4)*$C$5*3</f>
        <v>18</v>
      </c>
      <c r="Z39">
        <f t="shared" si="4"/>
        <v>8</v>
      </c>
      <c r="AA39" s="11">
        <f t="shared" si="5"/>
        <v>3.875</v>
      </c>
      <c r="AB39" s="11">
        <f t="shared" si="6"/>
        <v>4.375</v>
      </c>
      <c r="AC39" s="10">
        <f t="shared" si="7"/>
        <v>0.66</v>
      </c>
      <c r="AD39" s="10">
        <f t="shared" si="8"/>
        <v>0.24</v>
      </c>
    </row>
    <row r="40" spans="1:30" x14ac:dyDescent="0.25">
      <c r="A40" s="9" t="s">
        <v>267</v>
      </c>
      <c r="B40" s="9" t="s">
        <v>273</v>
      </c>
      <c r="C40" s="9" t="s">
        <v>64</v>
      </c>
      <c r="D40" s="31">
        <v>1</v>
      </c>
      <c r="E40">
        <v>2</v>
      </c>
      <c r="F40">
        <v>2</v>
      </c>
      <c r="G40">
        <v>2</v>
      </c>
      <c r="I40" s="2"/>
      <c r="J40">
        <f t="shared" si="2"/>
        <v>5.5</v>
      </c>
      <c r="K40" s="31">
        <v>10</v>
      </c>
      <c r="T40">
        <v>-3</v>
      </c>
      <c r="W40">
        <f t="shared" si="3"/>
        <v>3</v>
      </c>
      <c r="Y40" s="2"/>
      <c r="Z40">
        <f t="shared" si="4"/>
        <v>2.5</v>
      </c>
      <c r="AA40" s="11">
        <f t="shared" si="5"/>
        <v>4</v>
      </c>
      <c r="AB40" s="11">
        <f t="shared" si="6"/>
        <v>5.6</v>
      </c>
      <c r="AC40" s="10">
        <f t="shared" si="7"/>
        <v>0.67</v>
      </c>
      <c r="AD40" s="10">
        <f t="shared" si="8"/>
        <v>0.81</v>
      </c>
    </row>
    <row r="41" spans="1:30" x14ac:dyDescent="0.25">
      <c r="A41" s="9" t="s">
        <v>211</v>
      </c>
      <c r="B41" t="s">
        <v>21</v>
      </c>
      <c r="C41" t="s">
        <v>63</v>
      </c>
      <c r="D41" s="31">
        <v>2</v>
      </c>
      <c r="E41">
        <v>4</v>
      </c>
      <c r="I41" s="2">
        <v>4</v>
      </c>
      <c r="J41">
        <f t="shared" si="2"/>
        <v>5.5</v>
      </c>
      <c r="K41" s="31">
        <v>10</v>
      </c>
      <c r="L41">
        <v>3</v>
      </c>
      <c r="W41">
        <f t="shared" si="3"/>
        <v>3</v>
      </c>
      <c r="Y41" s="2"/>
      <c r="Z41">
        <f t="shared" si="4"/>
        <v>2.5</v>
      </c>
      <c r="AA41" s="11">
        <f t="shared" si="5"/>
        <v>4</v>
      </c>
      <c r="AB41" s="11">
        <f t="shared" si="6"/>
        <v>5.6</v>
      </c>
      <c r="AC41" s="10">
        <f t="shared" si="7"/>
        <v>0.67</v>
      </c>
      <c r="AD41" s="10">
        <f t="shared" si="8"/>
        <v>0.81</v>
      </c>
    </row>
    <row r="42" spans="1:30" x14ac:dyDescent="0.25">
      <c r="A42" s="9" t="s">
        <v>217</v>
      </c>
      <c r="B42" s="9" t="s">
        <v>243</v>
      </c>
      <c r="C42" s="9" t="s">
        <v>63</v>
      </c>
      <c r="D42" s="31"/>
      <c r="E42">
        <v>6</v>
      </c>
      <c r="G42">
        <v>2</v>
      </c>
      <c r="I42" s="2"/>
      <c r="J42">
        <f t="shared" si="2"/>
        <v>5.5</v>
      </c>
      <c r="K42" s="31">
        <v>10</v>
      </c>
      <c r="L42">
        <v>3</v>
      </c>
      <c r="W42">
        <f t="shared" si="3"/>
        <v>3</v>
      </c>
      <c r="Y42" s="2"/>
      <c r="Z42">
        <f t="shared" si="4"/>
        <v>2.5</v>
      </c>
      <c r="AA42" s="11">
        <f t="shared" si="5"/>
        <v>4</v>
      </c>
      <c r="AB42" s="11">
        <f t="shared" si="6"/>
        <v>5.6</v>
      </c>
      <c r="AC42" s="10">
        <f t="shared" si="7"/>
        <v>0.67</v>
      </c>
      <c r="AD42" s="10">
        <f t="shared" si="8"/>
        <v>0.81</v>
      </c>
    </row>
    <row r="43" spans="1:30" x14ac:dyDescent="0.25">
      <c r="A43" s="9" t="s">
        <v>211</v>
      </c>
      <c r="B43" t="s">
        <v>58</v>
      </c>
      <c r="C43" t="s">
        <v>62</v>
      </c>
      <c r="D43" s="31"/>
      <c r="E43">
        <v>1</v>
      </c>
      <c r="F43">
        <v>4</v>
      </c>
      <c r="G43">
        <v>1</v>
      </c>
      <c r="I43" s="2"/>
      <c r="J43">
        <f t="shared" si="2"/>
        <v>4</v>
      </c>
      <c r="K43" s="31">
        <v>10</v>
      </c>
      <c r="Q43">
        <v>6</v>
      </c>
      <c r="W43">
        <f t="shared" si="3"/>
        <v>1.5</v>
      </c>
      <c r="Y43" s="2"/>
      <c r="Z43">
        <f t="shared" si="4"/>
        <v>2.5</v>
      </c>
      <c r="AA43" s="11">
        <f t="shared" si="5"/>
        <v>4</v>
      </c>
      <c r="AB43" s="11">
        <f t="shared" si="6"/>
        <v>5.6</v>
      </c>
      <c r="AC43" s="10">
        <f t="shared" si="7"/>
        <v>0.67</v>
      </c>
      <c r="AD43" s="10">
        <f t="shared" si="8"/>
        <v>0.81</v>
      </c>
    </row>
    <row r="44" spans="1:30" x14ac:dyDescent="0.25">
      <c r="A44" s="9" t="s">
        <v>211</v>
      </c>
      <c r="B44" t="s">
        <v>36</v>
      </c>
      <c r="C44" t="s">
        <v>62</v>
      </c>
      <c r="D44" s="31"/>
      <c r="E44">
        <v>1</v>
      </c>
      <c r="F44">
        <v>2</v>
      </c>
      <c r="G44">
        <v>1</v>
      </c>
      <c r="I44" s="2">
        <v>6</v>
      </c>
      <c r="J44">
        <f t="shared" si="2"/>
        <v>4.5</v>
      </c>
      <c r="K44" s="31">
        <v>10</v>
      </c>
      <c r="N44">
        <v>4</v>
      </c>
      <c r="W44">
        <f t="shared" si="3"/>
        <v>2</v>
      </c>
      <c r="Y44" s="2"/>
      <c r="Z44">
        <f t="shared" si="4"/>
        <v>2.5</v>
      </c>
      <c r="AA44" s="11">
        <f t="shared" si="5"/>
        <v>4</v>
      </c>
      <c r="AB44" s="11">
        <f t="shared" si="6"/>
        <v>5.6</v>
      </c>
      <c r="AC44" s="10">
        <f t="shared" si="7"/>
        <v>0.67</v>
      </c>
      <c r="AD44" s="10">
        <f t="shared" si="8"/>
        <v>0.81</v>
      </c>
    </row>
    <row r="45" spans="1:30" x14ac:dyDescent="0.25">
      <c r="A45" s="9" t="s">
        <v>211</v>
      </c>
      <c r="B45" t="s">
        <v>39</v>
      </c>
      <c r="C45" t="s">
        <v>64</v>
      </c>
      <c r="D45" s="31"/>
      <c r="E45">
        <v>1</v>
      </c>
      <c r="F45">
        <v>2</v>
      </c>
      <c r="G45">
        <v>2</v>
      </c>
      <c r="I45" s="2"/>
      <c r="J45">
        <f t="shared" ref="J45:J76" si="9">0.5+SUMPRODUCT(D45:I45,D$11:I$11)</f>
        <v>4</v>
      </c>
      <c r="K45" s="31">
        <v>7</v>
      </c>
      <c r="Q45">
        <v>4</v>
      </c>
      <c r="R45">
        <v>2</v>
      </c>
      <c r="W45">
        <f t="shared" ref="W45:W76" si="10">SUMPRODUCT(L45:U45,L$11:U$11)</f>
        <v>2</v>
      </c>
      <c r="Y45" s="2"/>
      <c r="Z45">
        <f t="shared" ref="Z45:Z76" si="11">J45-(W45+X45)</f>
        <v>2</v>
      </c>
      <c r="AA45" s="11">
        <f t="shared" ref="AA45:AA76" si="12">IF(Z45&lt;=0,999,(K45+Y45)/(Z45))</f>
        <v>3.5</v>
      </c>
      <c r="AB45" s="11">
        <f t="shared" ref="AB45:AB76" si="13">IF(Z45&lt;=0,999,(4+K45+Y45)/(Z45))</f>
        <v>5.5</v>
      </c>
      <c r="AC45" s="10">
        <f t="shared" ref="AC45:AC76" si="14">IFERROR(_xlfn.PERCENTRANK.INC(AA$13:AA$135,AA45,2),"")</f>
        <v>0.48</v>
      </c>
      <c r="AD45" s="10">
        <f t="shared" ref="AD45:AD76" si="15">IFERROR(_xlfn.PERCENTRANK.INC(AB$13:AB$135,AB45,2),"")</f>
        <v>0.79</v>
      </c>
    </row>
    <row r="46" spans="1:30" x14ac:dyDescent="0.25">
      <c r="A46" s="9" t="s">
        <v>217</v>
      </c>
      <c r="B46" s="9" t="s">
        <v>236</v>
      </c>
      <c r="C46" s="9" t="s">
        <v>60</v>
      </c>
      <c r="D46" s="31"/>
      <c r="F46">
        <v>4</v>
      </c>
      <c r="G46">
        <v>2</v>
      </c>
      <c r="I46" s="2"/>
      <c r="J46">
        <f t="shared" si="9"/>
        <v>4.5</v>
      </c>
      <c r="K46" s="31">
        <v>7</v>
      </c>
      <c r="Q46">
        <v>10</v>
      </c>
      <c r="W46">
        <f t="shared" si="10"/>
        <v>2.5</v>
      </c>
      <c r="Y46" s="2"/>
      <c r="Z46">
        <f t="shared" si="11"/>
        <v>2</v>
      </c>
      <c r="AA46" s="11">
        <f t="shared" si="12"/>
        <v>3.5</v>
      </c>
      <c r="AB46" s="11">
        <f t="shared" si="13"/>
        <v>5.5</v>
      </c>
      <c r="AC46" s="10">
        <f t="shared" si="14"/>
        <v>0.48</v>
      </c>
      <c r="AD46" s="10">
        <f t="shared" si="15"/>
        <v>0.79</v>
      </c>
    </row>
    <row r="47" spans="1:30" x14ac:dyDescent="0.25">
      <c r="A47" s="9" t="s">
        <v>211</v>
      </c>
      <c r="B47" t="s">
        <v>18</v>
      </c>
      <c r="C47" t="s">
        <v>60</v>
      </c>
      <c r="D47" s="31">
        <v>1</v>
      </c>
      <c r="E47">
        <v>2</v>
      </c>
      <c r="I47" s="2">
        <v>4</v>
      </c>
      <c r="J47">
        <f t="shared" si="9"/>
        <v>3.5</v>
      </c>
      <c r="K47" s="31">
        <v>8</v>
      </c>
      <c r="V47" t="s">
        <v>77</v>
      </c>
      <c r="W47">
        <f t="shared" si="10"/>
        <v>0</v>
      </c>
      <c r="Y47" s="2">
        <f>(8-$C$4)</f>
        <v>3</v>
      </c>
      <c r="Z47">
        <f t="shared" si="11"/>
        <v>3.5</v>
      </c>
      <c r="AA47" s="11">
        <f t="shared" si="12"/>
        <v>3.1428571428571428</v>
      </c>
      <c r="AB47" s="11">
        <f t="shared" si="13"/>
        <v>4.2857142857142856</v>
      </c>
      <c r="AC47" s="10">
        <f t="shared" si="14"/>
        <v>0.28999999999999998</v>
      </c>
      <c r="AD47" s="10">
        <f t="shared" si="15"/>
        <v>0.21</v>
      </c>
    </row>
    <row r="48" spans="1:30" x14ac:dyDescent="0.25">
      <c r="A48" s="9" t="s">
        <v>211</v>
      </c>
      <c r="B48" t="s">
        <v>49</v>
      </c>
      <c r="C48" t="s">
        <v>63</v>
      </c>
      <c r="D48" s="31">
        <v>2</v>
      </c>
      <c r="E48">
        <v>1</v>
      </c>
      <c r="I48" s="2">
        <v>2</v>
      </c>
      <c r="J48">
        <f t="shared" si="9"/>
        <v>3.5</v>
      </c>
      <c r="K48" s="31">
        <v>8</v>
      </c>
      <c r="V48" t="s">
        <v>88</v>
      </c>
      <c r="W48">
        <f t="shared" si="10"/>
        <v>0</v>
      </c>
      <c r="Y48" s="2">
        <f>(8-$C$4)</f>
        <v>3</v>
      </c>
      <c r="Z48">
        <f t="shared" si="11"/>
        <v>3.5</v>
      </c>
      <c r="AA48" s="11">
        <f t="shared" si="12"/>
        <v>3.1428571428571428</v>
      </c>
      <c r="AB48" s="11">
        <f t="shared" si="13"/>
        <v>4.2857142857142856</v>
      </c>
      <c r="AC48" s="10">
        <f t="shared" si="14"/>
        <v>0.28999999999999998</v>
      </c>
      <c r="AD48" s="10">
        <f t="shared" si="15"/>
        <v>0.21</v>
      </c>
    </row>
    <row r="49" spans="1:30" x14ac:dyDescent="0.25">
      <c r="A49" s="9" t="s">
        <v>211</v>
      </c>
      <c r="B49" t="s">
        <v>29</v>
      </c>
      <c r="C49" t="s">
        <v>61</v>
      </c>
      <c r="D49" s="31">
        <v>1</v>
      </c>
      <c r="E49">
        <v>4</v>
      </c>
      <c r="I49" s="2"/>
      <c r="J49">
        <f t="shared" si="9"/>
        <v>3.5</v>
      </c>
      <c r="K49" s="31">
        <v>8</v>
      </c>
      <c r="V49" t="s">
        <v>89</v>
      </c>
      <c r="W49">
        <f t="shared" si="10"/>
        <v>0</v>
      </c>
      <c r="Y49" s="2">
        <f>(8-$C$4)</f>
        <v>3</v>
      </c>
      <c r="Z49">
        <f t="shared" si="11"/>
        <v>3.5</v>
      </c>
      <c r="AA49" s="11">
        <f t="shared" si="12"/>
        <v>3.1428571428571428</v>
      </c>
      <c r="AB49" s="11">
        <f t="shared" si="13"/>
        <v>4.2857142857142856</v>
      </c>
      <c r="AC49" s="10">
        <f t="shared" si="14"/>
        <v>0.28999999999999998</v>
      </c>
      <c r="AD49" s="10">
        <f t="shared" si="15"/>
        <v>0.21</v>
      </c>
    </row>
    <row r="50" spans="1:30" x14ac:dyDescent="0.25">
      <c r="A50" s="9" t="s">
        <v>211</v>
      </c>
      <c r="B50" t="s">
        <v>3</v>
      </c>
      <c r="C50" t="s">
        <v>62</v>
      </c>
      <c r="D50" s="31"/>
      <c r="E50">
        <v>1</v>
      </c>
      <c r="F50">
        <v>4</v>
      </c>
      <c r="G50">
        <v>1</v>
      </c>
      <c r="I50" s="2"/>
      <c r="J50">
        <f t="shared" si="9"/>
        <v>4</v>
      </c>
      <c r="K50" s="31">
        <v>0</v>
      </c>
      <c r="V50" t="s">
        <v>85</v>
      </c>
      <c r="W50">
        <f t="shared" si="10"/>
        <v>0</v>
      </c>
      <c r="Y50" s="2">
        <f>(8-$C$4)*2*$C$7</f>
        <v>7.5</v>
      </c>
      <c r="Z50">
        <f t="shared" si="11"/>
        <v>4</v>
      </c>
      <c r="AA50" s="11">
        <f t="shared" si="12"/>
        <v>1.875</v>
      </c>
      <c r="AB50" s="11">
        <f t="shared" si="13"/>
        <v>2.875</v>
      </c>
      <c r="AC50" s="10">
        <f t="shared" si="14"/>
        <v>0.02</v>
      </c>
      <c r="AD50" s="10">
        <f t="shared" si="15"/>
        <v>0.01</v>
      </c>
    </row>
    <row r="51" spans="1:30" x14ac:dyDescent="0.25">
      <c r="A51" s="9" t="s">
        <v>211</v>
      </c>
      <c r="B51" t="s">
        <v>48</v>
      </c>
      <c r="C51" t="s">
        <v>64</v>
      </c>
      <c r="D51" s="31"/>
      <c r="G51">
        <v>2</v>
      </c>
      <c r="I51" s="2">
        <v>4</v>
      </c>
      <c r="J51">
        <f t="shared" si="9"/>
        <v>3.5</v>
      </c>
      <c r="K51" s="31">
        <v>4</v>
      </c>
      <c r="O51">
        <v>1</v>
      </c>
      <c r="U51">
        <v>1</v>
      </c>
      <c r="V51" t="s">
        <v>92</v>
      </c>
      <c r="W51">
        <f t="shared" si="10"/>
        <v>2</v>
      </c>
      <c r="Y51" s="2"/>
      <c r="Z51">
        <f t="shared" si="11"/>
        <v>1.5</v>
      </c>
      <c r="AA51" s="11">
        <f t="shared" si="12"/>
        <v>2.6666666666666665</v>
      </c>
      <c r="AB51" s="11">
        <f t="shared" si="13"/>
        <v>5.333333333333333</v>
      </c>
      <c r="AC51" s="10">
        <f t="shared" si="14"/>
        <v>0.16</v>
      </c>
      <c r="AD51" s="10">
        <f t="shared" si="15"/>
        <v>0.75</v>
      </c>
    </row>
    <row r="52" spans="1:30" x14ac:dyDescent="0.25">
      <c r="A52" s="9" t="s">
        <v>211</v>
      </c>
      <c r="B52" t="s">
        <v>4</v>
      </c>
      <c r="C52" t="s">
        <v>60</v>
      </c>
      <c r="D52" s="31"/>
      <c r="E52">
        <v>1</v>
      </c>
      <c r="F52">
        <v>1</v>
      </c>
      <c r="G52">
        <v>1</v>
      </c>
      <c r="I52" s="2">
        <v>4</v>
      </c>
      <c r="J52">
        <f t="shared" si="9"/>
        <v>3.5</v>
      </c>
      <c r="K52" s="31">
        <v>4</v>
      </c>
      <c r="O52">
        <v>2</v>
      </c>
      <c r="W52">
        <f t="shared" si="10"/>
        <v>2</v>
      </c>
      <c r="Y52" s="2"/>
      <c r="Z52">
        <f t="shared" si="11"/>
        <v>1.5</v>
      </c>
      <c r="AA52" s="11">
        <f t="shared" si="12"/>
        <v>2.6666666666666665</v>
      </c>
      <c r="AB52" s="11">
        <f t="shared" si="13"/>
        <v>5.333333333333333</v>
      </c>
      <c r="AC52" s="10">
        <f t="shared" si="14"/>
        <v>0.16</v>
      </c>
      <c r="AD52" s="10">
        <f t="shared" si="15"/>
        <v>0.75</v>
      </c>
    </row>
    <row r="53" spans="1:30" x14ac:dyDescent="0.25">
      <c r="A53" s="9" t="s">
        <v>211</v>
      </c>
      <c r="B53" t="s">
        <v>22</v>
      </c>
      <c r="C53" t="s">
        <v>63</v>
      </c>
      <c r="D53" s="31">
        <v>2</v>
      </c>
      <c r="E53">
        <v>2</v>
      </c>
      <c r="I53" s="2">
        <v>4</v>
      </c>
      <c r="J53">
        <f t="shared" si="9"/>
        <v>4.5</v>
      </c>
      <c r="K53" s="31">
        <v>12</v>
      </c>
      <c r="L53">
        <v>1</v>
      </c>
      <c r="M53">
        <v>1</v>
      </c>
      <c r="W53">
        <f t="shared" si="10"/>
        <v>1.5</v>
      </c>
      <c r="Y53" s="2"/>
      <c r="Z53">
        <f t="shared" si="11"/>
        <v>3</v>
      </c>
      <c r="AA53" s="11">
        <f t="shared" si="12"/>
        <v>4</v>
      </c>
      <c r="AB53" s="11">
        <f t="shared" si="13"/>
        <v>5.333333333333333</v>
      </c>
      <c r="AC53" s="10">
        <f t="shared" si="14"/>
        <v>0.67</v>
      </c>
      <c r="AD53" s="10">
        <f t="shared" si="15"/>
        <v>0.75</v>
      </c>
    </row>
    <row r="54" spans="1:30" x14ac:dyDescent="0.25">
      <c r="A54" s="9" t="s">
        <v>211</v>
      </c>
      <c r="B54" t="s">
        <v>54</v>
      </c>
      <c r="C54" t="s">
        <v>62</v>
      </c>
      <c r="D54" s="31">
        <v>1</v>
      </c>
      <c r="F54">
        <v>4</v>
      </c>
      <c r="I54" s="2"/>
      <c r="J54">
        <f t="shared" si="9"/>
        <v>3.5</v>
      </c>
      <c r="K54" s="31">
        <v>4</v>
      </c>
      <c r="L54">
        <v>2</v>
      </c>
      <c r="W54">
        <f t="shared" si="10"/>
        <v>2</v>
      </c>
      <c r="Y54" s="2"/>
      <c r="Z54">
        <f t="shared" si="11"/>
        <v>1.5</v>
      </c>
      <c r="AA54" s="11">
        <f t="shared" si="12"/>
        <v>2.6666666666666665</v>
      </c>
      <c r="AB54" s="11">
        <f t="shared" si="13"/>
        <v>5.333333333333333</v>
      </c>
      <c r="AC54" s="10">
        <f t="shared" si="14"/>
        <v>0.16</v>
      </c>
      <c r="AD54" s="10">
        <f t="shared" si="15"/>
        <v>0.75</v>
      </c>
    </row>
    <row r="55" spans="1:30" x14ac:dyDescent="0.25">
      <c r="A55" s="9" t="s">
        <v>211</v>
      </c>
      <c r="B55" t="s">
        <v>46</v>
      </c>
      <c r="C55" t="s">
        <v>61</v>
      </c>
      <c r="D55" s="31"/>
      <c r="E55">
        <v>3</v>
      </c>
      <c r="G55">
        <v>1</v>
      </c>
      <c r="I55" s="2"/>
      <c r="J55">
        <f t="shared" si="9"/>
        <v>3</v>
      </c>
      <c r="K55" s="31">
        <v>4</v>
      </c>
      <c r="M55">
        <v>1</v>
      </c>
      <c r="O55">
        <v>1</v>
      </c>
      <c r="W55">
        <f t="shared" si="10"/>
        <v>1.5</v>
      </c>
      <c r="Y55" s="2"/>
      <c r="Z55">
        <f t="shared" si="11"/>
        <v>1.5</v>
      </c>
      <c r="AA55" s="11">
        <f t="shared" si="12"/>
        <v>2.6666666666666665</v>
      </c>
      <c r="AB55" s="11">
        <f t="shared" si="13"/>
        <v>5.333333333333333</v>
      </c>
      <c r="AC55" s="10">
        <f t="shared" si="14"/>
        <v>0.16</v>
      </c>
      <c r="AD55" s="10">
        <f t="shared" si="15"/>
        <v>0.75</v>
      </c>
    </row>
    <row r="56" spans="1:30" x14ac:dyDescent="0.25">
      <c r="A56" s="9" t="s">
        <v>217</v>
      </c>
      <c r="B56" s="9" t="s">
        <v>233</v>
      </c>
      <c r="C56" s="9" t="s">
        <v>60</v>
      </c>
      <c r="D56" s="31">
        <v>1</v>
      </c>
      <c r="E56">
        <v>4</v>
      </c>
      <c r="F56">
        <v>3</v>
      </c>
      <c r="I56" s="2">
        <v>6</v>
      </c>
      <c r="J56">
        <f t="shared" si="9"/>
        <v>6.5</v>
      </c>
      <c r="K56" s="31">
        <v>12</v>
      </c>
      <c r="V56" s="9" t="s">
        <v>235</v>
      </c>
      <c r="W56">
        <f t="shared" si="10"/>
        <v>0</v>
      </c>
      <c r="X56">
        <f>(8-$C$4)/2</f>
        <v>1.5</v>
      </c>
      <c r="Y56" s="2"/>
      <c r="Z56">
        <f t="shared" si="11"/>
        <v>5</v>
      </c>
      <c r="AA56" s="11">
        <f t="shared" si="12"/>
        <v>2.4</v>
      </c>
      <c r="AB56" s="11">
        <f t="shared" si="13"/>
        <v>3.2</v>
      </c>
      <c r="AC56" s="10">
        <f t="shared" si="14"/>
        <v>0.09</v>
      </c>
      <c r="AD56" s="10">
        <f t="shared" si="15"/>
        <v>7.0000000000000007E-2</v>
      </c>
    </row>
    <row r="57" spans="1:30" x14ac:dyDescent="0.25">
      <c r="A57" s="9" t="s">
        <v>217</v>
      </c>
      <c r="B57" s="9" t="s">
        <v>246</v>
      </c>
      <c r="C57" s="9" t="s">
        <v>63</v>
      </c>
      <c r="D57" s="31">
        <v>4</v>
      </c>
      <c r="E57">
        <v>2</v>
      </c>
      <c r="I57" s="2">
        <v>5</v>
      </c>
      <c r="J57">
        <f t="shared" si="9"/>
        <v>6.75</v>
      </c>
      <c r="K57" s="31">
        <v>13</v>
      </c>
      <c r="V57" s="9" t="s">
        <v>247</v>
      </c>
      <c r="W57">
        <f t="shared" si="10"/>
        <v>0</v>
      </c>
      <c r="X57">
        <f>(8-$C$4)/2</f>
        <v>1.5</v>
      </c>
      <c r="Y57" s="2"/>
      <c r="Z57">
        <f t="shared" si="11"/>
        <v>5.25</v>
      </c>
      <c r="AA57" s="11">
        <f t="shared" si="12"/>
        <v>2.4761904761904763</v>
      </c>
      <c r="AB57" s="11">
        <f t="shared" si="13"/>
        <v>3.2380952380952381</v>
      </c>
      <c r="AC57" s="10">
        <f t="shared" si="14"/>
        <v>0.13</v>
      </c>
      <c r="AD57" s="10">
        <f t="shared" si="15"/>
        <v>0.08</v>
      </c>
    </row>
    <row r="58" spans="1:30" x14ac:dyDescent="0.25">
      <c r="A58" s="9" t="s">
        <v>211</v>
      </c>
      <c r="B58" t="s">
        <v>38</v>
      </c>
      <c r="C58" t="s">
        <v>64</v>
      </c>
      <c r="D58" s="31"/>
      <c r="E58">
        <v>2</v>
      </c>
      <c r="G58">
        <v>2</v>
      </c>
      <c r="I58" s="2">
        <v>4</v>
      </c>
      <c r="J58">
        <f t="shared" si="9"/>
        <v>4.5</v>
      </c>
      <c r="K58" s="31">
        <v>9</v>
      </c>
      <c r="L58">
        <v>2</v>
      </c>
      <c r="W58">
        <f t="shared" si="10"/>
        <v>2</v>
      </c>
      <c r="Y58" s="2"/>
      <c r="Z58">
        <f t="shared" si="11"/>
        <v>2.5</v>
      </c>
      <c r="AA58" s="11">
        <f t="shared" si="12"/>
        <v>3.6</v>
      </c>
      <c r="AB58" s="11">
        <f t="shared" si="13"/>
        <v>5.2</v>
      </c>
      <c r="AC58" s="10">
        <f t="shared" si="14"/>
        <v>0.5</v>
      </c>
      <c r="AD58" s="10">
        <f t="shared" si="15"/>
        <v>0.71</v>
      </c>
    </row>
    <row r="59" spans="1:30" x14ac:dyDescent="0.25">
      <c r="A59" s="9" t="s">
        <v>267</v>
      </c>
      <c r="B59" s="9" t="s">
        <v>272</v>
      </c>
      <c r="C59" s="9" t="s">
        <v>64</v>
      </c>
      <c r="D59" s="31">
        <v>1</v>
      </c>
      <c r="E59">
        <v>1</v>
      </c>
      <c r="G59">
        <v>2</v>
      </c>
      <c r="I59" s="2">
        <v>2</v>
      </c>
      <c r="J59">
        <f t="shared" si="9"/>
        <v>4.5</v>
      </c>
      <c r="K59" s="31">
        <v>9</v>
      </c>
      <c r="T59">
        <v>-2</v>
      </c>
      <c r="W59">
        <f t="shared" si="10"/>
        <v>2</v>
      </c>
      <c r="Y59" s="2"/>
      <c r="Z59">
        <f t="shared" si="11"/>
        <v>2.5</v>
      </c>
      <c r="AA59" s="11">
        <f t="shared" si="12"/>
        <v>3.6</v>
      </c>
      <c r="AB59" s="11">
        <f t="shared" si="13"/>
        <v>5.2</v>
      </c>
      <c r="AC59" s="10">
        <f t="shared" si="14"/>
        <v>0.5</v>
      </c>
      <c r="AD59" s="10">
        <f t="shared" si="15"/>
        <v>0.71</v>
      </c>
    </row>
    <row r="60" spans="1:30" x14ac:dyDescent="0.25">
      <c r="A60" s="9" t="s">
        <v>267</v>
      </c>
      <c r="B60" s="9" t="s">
        <v>295</v>
      </c>
      <c r="C60" s="9" t="s">
        <v>62</v>
      </c>
      <c r="D60" s="31"/>
      <c r="E60">
        <v>2</v>
      </c>
      <c r="F60">
        <v>4</v>
      </c>
      <c r="G60">
        <v>1</v>
      </c>
      <c r="I60" s="2"/>
      <c r="J60">
        <f t="shared" si="9"/>
        <v>4.5</v>
      </c>
      <c r="K60" s="31">
        <v>9</v>
      </c>
      <c r="P60">
        <v>1</v>
      </c>
      <c r="T60">
        <v>-1</v>
      </c>
      <c r="W60">
        <f t="shared" si="10"/>
        <v>2</v>
      </c>
      <c r="Y60" s="2"/>
      <c r="Z60">
        <f t="shared" si="11"/>
        <v>2.5</v>
      </c>
      <c r="AA60" s="11">
        <f t="shared" si="12"/>
        <v>3.6</v>
      </c>
      <c r="AB60" s="11">
        <f t="shared" si="13"/>
        <v>5.2</v>
      </c>
      <c r="AC60" s="10">
        <f t="shared" si="14"/>
        <v>0.5</v>
      </c>
      <c r="AD60" s="10">
        <f t="shared" si="15"/>
        <v>0.71</v>
      </c>
    </row>
    <row r="61" spans="1:30" x14ac:dyDescent="0.25">
      <c r="A61" s="9" t="s">
        <v>211</v>
      </c>
      <c r="B61" t="s">
        <v>16</v>
      </c>
      <c r="C61" t="s">
        <v>61</v>
      </c>
      <c r="D61" s="31"/>
      <c r="E61">
        <v>4</v>
      </c>
      <c r="F61">
        <v>1</v>
      </c>
      <c r="G61">
        <v>1</v>
      </c>
      <c r="I61" s="2">
        <v>2</v>
      </c>
      <c r="J61">
        <f t="shared" si="9"/>
        <v>4.5</v>
      </c>
      <c r="K61" s="31">
        <v>9</v>
      </c>
      <c r="L61">
        <v>2</v>
      </c>
      <c r="W61">
        <f t="shared" si="10"/>
        <v>2</v>
      </c>
      <c r="Y61" s="2"/>
      <c r="Z61">
        <f t="shared" si="11"/>
        <v>2.5</v>
      </c>
      <c r="AA61" s="11">
        <f t="shared" si="12"/>
        <v>3.6</v>
      </c>
      <c r="AB61" s="11">
        <f t="shared" si="13"/>
        <v>5.2</v>
      </c>
      <c r="AC61" s="10">
        <f t="shared" si="14"/>
        <v>0.5</v>
      </c>
      <c r="AD61" s="10">
        <f t="shared" si="15"/>
        <v>0.71</v>
      </c>
    </row>
    <row r="62" spans="1:30" x14ac:dyDescent="0.25">
      <c r="A62" s="9" t="s">
        <v>267</v>
      </c>
      <c r="B62" s="9" t="s">
        <v>305</v>
      </c>
      <c r="C62" s="9" t="s">
        <v>61</v>
      </c>
      <c r="D62" s="31">
        <v>1</v>
      </c>
      <c r="E62">
        <v>3</v>
      </c>
      <c r="F62">
        <v>2</v>
      </c>
      <c r="I62" s="2">
        <v>2</v>
      </c>
      <c r="J62">
        <f t="shared" si="9"/>
        <v>4.5</v>
      </c>
      <c r="K62" s="31">
        <v>9</v>
      </c>
      <c r="N62">
        <v>4</v>
      </c>
      <c r="W62">
        <f t="shared" si="10"/>
        <v>2</v>
      </c>
      <c r="Y62" s="2"/>
      <c r="Z62">
        <f t="shared" si="11"/>
        <v>2.5</v>
      </c>
      <c r="AA62" s="11">
        <f t="shared" si="12"/>
        <v>3.6</v>
      </c>
      <c r="AB62" s="11">
        <f t="shared" si="13"/>
        <v>5.2</v>
      </c>
      <c r="AC62" s="10">
        <f t="shared" si="14"/>
        <v>0.5</v>
      </c>
      <c r="AD62" s="10">
        <f t="shared" si="15"/>
        <v>0.71</v>
      </c>
    </row>
    <row r="63" spans="1:30" x14ac:dyDescent="0.25">
      <c r="A63" s="9" t="s">
        <v>211</v>
      </c>
      <c r="B63" t="s">
        <v>28</v>
      </c>
      <c r="C63" t="s">
        <v>60</v>
      </c>
      <c r="D63" s="31">
        <v>2</v>
      </c>
      <c r="F63">
        <v>2</v>
      </c>
      <c r="I63" s="2">
        <v>4</v>
      </c>
      <c r="J63">
        <f t="shared" si="9"/>
        <v>4.5</v>
      </c>
      <c r="K63" s="31">
        <v>10</v>
      </c>
      <c r="V63" t="s">
        <v>82</v>
      </c>
      <c r="W63">
        <f t="shared" si="10"/>
        <v>0</v>
      </c>
      <c r="Y63" s="2">
        <f>(8-$C$4)*$C$5</f>
        <v>4</v>
      </c>
      <c r="Z63">
        <f t="shared" si="11"/>
        <v>4.5</v>
      </c>
      <c r="AA63" s="11">
        <f t="shared" si="12"/>
        <v>3.1111111111111112</v>
      </c>
      <c r="AB63" s="11">
        <f t="shared" si="13"/>
        <v>4</v>
      </c>
      <c r="AC63" s="10">
        <f t="shared" si="14"/>
        <v>0.27</v>
      </c>
      <c r="AD63" s="10">
        <f t="shared" si="15"/>
        <v>0.16</v>
      </c>
    </row>
    <row r="64" spans="1:30" x14ac:dyDescent="0.25">
      <c r="A64" s="9" t="s">
        <v>217</v>
      </c>
      <c r="B64" s="9" t="s">
        <v>238</v>
      </c>
      <c r="C64" s="9" t="s">
        <v>63</v>
      </c>
      <c r="D64" s="31">
        <v>3</v>
      </c>
      <c r="E64">
        <v>3</v>
      </c>
      <c r="I64" s="2">
        <v>3</v>
      </c>
      <c r="J64">
        <f t="shared" si="9"/>
        <v>5.75</v>
      </c>
      <c r="K64" s="31">
        <v>10</v>
      </c>
      <c r="V64" s="9" t="s">
        <v>239</v>
      </c>
      <c r="W64">
        <f t="shared" si="10"/>
        <v>0</v>
      </c>
      <c r="X64">
        <f>(8-$C$4)*0.8704/2</f>
        <v>1.3055999999999999</v>
      </c>
      <c r="Y64" s="2"/>
      <c r="Z64">
        <f t="shared" si="11"/>
        <v>4.4443999999999999</v>
      </c>
      <c r="AA64" s="11">
        <f t="shared" si="12"/>
        <v>2.2500225002250023</v>
      </c>
      <c r="AB64" s="11">
        <f t="shared" si="13"/>
        <v>3.150031500315003</v>
      </c>
      <c r="AC64" s="10">
        <f t="shared" si="14"/>
        <v>0.08</v>
      </c>
      <c r="AD64" s="10">
        <f t="shared" si="15"/>
        <v>0.06</v>
      </c>
    </row>
    <row r="65" spans="1:30" x14ac:dyDescent="0.25">
      <c r="A65" s="9" t="s">
        <v>217</v>
      </c>
      <c r="B65" s="9" t="s">
        <v>220</v>
      </c>
      <c r="C65" s="9" t="s">
        <v>64</v>
      </c>
      <c r="D65" s="31"/>
      <c r="E65">
        <v>2</v>
      </c>
      <c r="F65">
        <v>3</v>
      </c>
      <c r="G65">
        <v>4</v>
      </c>
      <c r="I65" s="2">
        <v>6</v>
      </c>
      <c r="J65">
        <f t="shared" si="9"/>
        <v>8.5</v>
      </c>
      <c r="K65" s="31">
        <v>40</v>
      </c>
      <c r="W65">
        <f t="shared" si="10"/>
        <v>0</v>
      </c>
      <c r="Y65" s="2"/>
      <c r="Z65">
        <f t="shared" si="11"/>
        <v>8.5</v>
      </c>
      <c r="AA65" s="11">
        <f t="shared" si="12"/>
        <v>4.7058823529411766</v>
      </c>
      <c r="AB65" s="11">
        <f t="shared" si="13"/>
        <v>5.1764705882352944</v>
      </c>
      <c r="AC65" s="10">
        <f t="shared" si="14"/>
        <v>0.92</v>
      </c>
      <c r="AD65" s="10">
        <f t="shared" si="15"/>
        <v>0.67</v>
      </c>
    </row>
    <row r="66" spans="1:30" x14ac:dyDescent="0.25">
      <c r="A66" s="9" t="s">
        <v>217</v>
      </c>
      <c r="B66" s="9" t="s">
        <v>230</v>
      </c>
      <c r="C66" s="9" t="s">
        <v>60</v>
      </c>
      <c r="D66" s="31">
        <v>2</v>
      </c>
      <c r="E66">
        <v>3</v>
      </c>
      <c r="F66">
        <v>4</v>
      </c>
      <c r="I66" s="2">
        <v>10</v>
      </c>
      <c r="J66">
        <f t="shared" si="9"/>
        <v>8.5</v>
      </c>
      <c r="K66" s="31">
        <v>40</v>
      </c>
      <c r="W66">
        <f t="shared" si="10"/>
        <v>0</v>
      </c>
      <c r="Y66" s="2"/>
      <c r="Z66">
        <f t="shared" si="11"/>
        <v>8.5</v>
      </c>
      <c r="AA66" s="11">
        <f t="shared" si="12"/>
        <v>4.7058823529411766</v>
      </c>
      <c r="AB66" s="11">
        <f t="shared" si="13"/>
        <v>5.1764705882352944</v>
      </c>
      <c r="AC66" s="10">
        <f t="shared" si="14"/>
        <v>0.92</v>
      </c>
      <c r="AD66" s="10">
        <f t="shared" si="15"/>
        <v>0.67</v>
      </c>
    </row>
    <row r="67" spans="1:30" x14ac:dyDescent="0.25">
      <c r="A67" s="9" t="s">
        <v>217</v>
      </c>
      <c r="B67" s="9" t="s">
        <v>242</v>
      </c>
      <c r="C67" s="9" t="s">
        <v>63</v>
      </c>
      <c r="D67" s="31">
        <v>5</v>
      </c>
      <c r="E67">
        <v>2</v>
      </c>
      <c r="F67">
        <v>2</v>
      </c>
      <c r="G67">
        <v>1</v>
      </c>
      <c r="I67" s="2"/>
      <c r="J67">
        <f t="shared" si="9"/>
        <v>8.5</v>
      </c>
      <c r="K67" s="31">
        <v>40</v>
      </c>
      <c r="W67">
        <f t="shared" si="10"/>
        <v>0</v>
      </c>
      <c r="Y67" s="2"/>
      <c r="Z67">
        <f t="shared" si="11"/>
        <v>8.5</v>
      </c>
      <c r="AA67" s="11">
        <f t="shared" si="12"/>
        <v>4.7058823529411766</v>
      </c>
      <c r="AB67" s="11">
        <f t="shared" si="13"/>
        <v>5.1764705882352944</v>
      </c>
      <c r="AC67" s="10">
        <f t="shared" si="14"/>
        <v>0.92</v>
      </c>
      <c r="AD67" s="10">
        <f t="shared" si="15"/>
        <v>0.67</v>
      </c>
    </row>
    <row r="68" spans="1:30" x14ac:dyDescent="0.25">
      <c r="A68" s="9" t="s">
        <v>217</v>
      </c>
      <c r="B68" s="9" t="s">
        <v>257</v>
      </c>
      <c r="C68" s="9" t="s">
        <v>61</v>
      </c>
      <c r="D68" s="31">
        <v>2</v>
      </c>
      <c r="E68">
        <v>7</v>
      </c>
      <c r="G68">
        <v>2</v>
      </c>
      <c r="I68" s="2">
        <v>2</v>
      </c>
      <c r="J68">
        <f t="shared" si="9"/>
        <v>8.5</v>
      </c>
      <c r="K68" s="31">
        <v>40</v>
      </c>
      <c r="W68">
        <f t="shared" si="10"/>
        <v>0</v>
      </c>
      <c r="Y68" s="2"/>
      <c r="Z68">
        <f t="shared" si="11"/>
        <v>8.5</v>
      </c>
      <c r="AA68" s="11">
        <f t="shared" si="12"/>
        <v>4.7058823529411766</v>
      </c>
      <c r="AB68" s="11">
        <f t="shared" si="13"/>
        <v>5.1764705882352944</v>
      </c>
      <c r="AC68" s="10">
        <f t="shared" si="14"/>
        <v>0.92</v>
      </c>
      <c r="AD68" s="10">
        <f t="shared" si="15"/>
        <v>0.67</v>
      </c>
    </row>
    <row r="69" spans="1:30" x14ac:dyDescent="0.25">
      <c r="A69" s="9" t="s">
        <v>267</v>
      </c>
      <c r="B69" s="9" t="s">
        <v>308</v>
      </c>
      <c r="C69" s="9" t="s">
        <v>61</v>
      </c>
      <c r="D69" s="31">
        <v>1</v>
      </c>
      <c r="E69">
        <v>5</v>
      </c>
      <c r="F69">
        <v>2</v>
      </c>
      <c r="I69" s="2">
        <v>5</v>
      </c>
      <c r="J69">
        <f t="shared" si="9"/>
        <v>6.25</v>
      </c>
      <c r="K69" s="31">
        <v>18</v>
      </c>
      <c r="T69">
        <v>-2</v>
      </c>
      <c r="W69">
        <f t="shared" si="10"/>
        <v>2</v>
      </c>
      <c r="Y69" s="2"/>
      <c r="Z69">
        <f t="shared" si="11"/>
        <v>4.25</v>
      </c>
      <c r="AA69" s="11">
        <f t="shared" si="12"/>
        <v>4.2352941176470589</v>
      </c>
      <c r="AB69" s="11">
        <f t="shared" si="13"/>
        <v>5.1764705882352944</v>
      </c>
      <c r="AC69" s="10">
        <f t="shared" si="14"/>
        <v>0.86</v>
      </c>
      <c r="AD69" s="10">
        <f t="shared" si="15"/>
        <v>0.67</v>
      </c>
    </row>
    <row r="70" spans="1:30" x14ac:dyDescent="0.25">
      <c r="A70" s="9" t="s">
        <v>211</v>
      </c>
      <c r="B70" t="s">
        <v>7</v>
      </c>
      <c r="C70" t="s">
        <v>62</v>
      </c>
      <c r="D70" s="31"/>
      <c r="F70">
        <v>4</v>
      </c>
      <c r="G70">
        <v>2</v>
      </c>
      <c r="I70" s="2">
        <v>2</v>
      </c>
      <c r="J70">
        <f t="shared" si="9"/>
        <v>5</v>
      </c>
      <c r="K70" s="31">
        <v>14</v>
      </c>
      <c r="M70">
        <v>2</v>
      </c>
      <c r="U70">
        <v>0.5</v>
      </c>
      <c r="V70" t="s">
        <v>86</v>
      </c>
      <c r="W70">
        <f t="shared" si="10"/>
        <v>1.5</v>
      </c>
      <c r="Y70" s="2"/>
      <c r="Z70">
        <f t="shared" si="11"/>
        <v>3.5</v>
      </c>
      <c r="AA70" s="11">
        <f t="shared" si="12"/>
        <v>4</v>
      </c>
      <c r="AB70" s="11">
        <f t="shared" si="13"/>
        <v>5.1428571428571432</v>
      </c>
      <c r="AC70" s="10">
        <f t="shared" si="14"/>
        <v>0.67</v>
      </c>
      <c r="AD70" s="10">
        <f t="shared" si="15"/>
        <v>0.66</v>
      </c>
    </row>
    <row r="71" spans="1:30" x14ac:dyDescent="0.25">
      <c r="A71" s="9" t="s">
        <v>211</v>
      </c>
      <c r="B71" t="s">
        <v>34</v>
      </c>
      <c r="C71" t="s">
        <v>60</v>
      </c>
      <c r="D71" s="31">
        <v>1</v>
      </c>
      <c r="E71">
        <v>1</v>
      </c>
      <c r="F71">
        <v>1</v>
      </c>
      <c r="I71" s="2">
        <v>2</v>
      </c>
      <c r="J71">
        <f t="shared" si="9"/>
        <v>3</v>
      </c>
      <c r="K71" s="31">
        <v>4</v>
      </c>
      <c r="V71" t="s">
        <v>83</v>
      </c>
      <c r="W71">
        <f t="shared" si="10"/>
        <v>0</v>
      </c>
      <c r="Y71" s="2">
        <f>($C$4)/3+(8-$C$4)*$C$4</f>
        <v>16.666666666666668</v>
      </c>
      <c r="Z71">
        <f t="shared" si="11"/>
        <v>3</v>
      </c>
      <c r="AA71" s="11">
        <f t="shared" si="12"/>
        <v>6.8888888888888893</v>
      </c>
      <c r="AB71" s="11">
        <f t="shared" si="13"/>
        <v>8.2222222222222232</v>
      </c>
      <c r="AC71" s="10">
        <f t="shared" si="14"/>
        <v>0.99</v>
      </c>
      <c r="AD71" s="10">
        <f t="shared" si="15"/>
        <v>0.98</v>
      </c>
    </row>
    <row r="72" spans="1:30" x14ac:dyDescent="0.25">
      <c r="A72" s="9" t="s">
        <v>211</v>
      </c>
      <c r="B72" t="s">
        <v>17</v>
      </c>
      <c r="C72" t="s">
        <v>60</v>
      </c>
      <c r="D72" s="31"/>
      <c r="F72">
        <v>4</v>
      </c>
      <c r="G72">
        <v>1</v>
      </c>
      <c r="I72" s="2">
        <v>4</v>
      </c>
      <c r="J72">
        <f t="shared" si="9"/>
        <v>4.5</v>
      </c>
      <c r="K72" s="31">
        <v>10</v>
      </c>
      <c r="V72" t="s">
        <v>71</v>
      </c>
      <c r="W72">
        <f t="shared" si="10"/>
        <v>0</v>
      </c>
      <c r="X72">
        <f>(8-$C$4)/4</f>
        <v>0.75</v>
      </c>
      <c r="Y72" s="2"/>
      <c r="Z72">
        <f t="shared" si="11"/>
        <v>3.75</v>
      </c>
      <c r="AA72" s="11">
        <f t="shared" si="12"/>
        <v>2.6666666666666665</v>
      </c>
      <c r="AB72" s="11">
        <f t="shared" si="13"/>
        <v>3.7333333333333334</v>
      </c>
      <c r="AC72" s="10">
        <f t="shared" si="14"/>
        <v>0.16</v>
      </c>
      <c r="AD72" s="10">
        <f t="shared" si="15"/>
        <v>0.12</v>
      </c>
    </row>
    <row r="73" spans="1:30" x14ac:dyDescent="0.25">
      <c r="A73" s="9" t="s">
        <v>217</v>
      </c>
      <c r="B73" s="9" t="s">
        <v>249</v>
      </c>
      <c r="C73" s="9" t="s">
        <v>62</v>
      </c>
      <c r="D73" s="31"/>
      <c r="E73">
        <v>2</v>
      </c>
      <c r="F73">
        <v>5</v>
      </c>
      <c r="G73">
        <v>1</v>
      </c>
      <c r="I73" s="2">
        <v>5</v>
      </c>
      <c r="J73">
        <f t="shared" si="9"/>
        <v>6.25</v>
      </c>
      <c r="K73" s="31">
        <v>10</v>
      </c>
      <c r="V73" s="9" t="s">
        <v>248</v>
      </c>
      <c r="W73">
        <f t="shared" si="10"/>
        <v>0</v>
      </c>
      <c r="X73">
        <f>(8-$C$4)/2</f>
        <v>1.5</v>
      </c>
      <c r="Y73" s="2"/>
      <c r="Z73">
        <f t="shared" si="11"/>
        <v>4.75</v>
      </c>
      <c r="AA73" s="11">
        <f t="shared" si="12"/>
        <v>2.1052631578947367</v>
      </c>
      <c r="AB73" s="11">
        <f t="shared" si="13"/>
        <v>2.9473684210526314</v>
      </c>
      <c r="AC73" s="10">
        <f t="shared" si="14"/>
        <v>0.04</v>
      </c>
      <c r="AD73" s="10">
        <f t="shared" si="15"/>
        <v>0.04</v>
      </c>
    </row>
    <row r="74" spans="1:30" x14ac:dyDescent="0.25">
      <c r="A74" s="9" t="s">
        <v>217</v>
      </c>
      <c r="B74" s="9" t="s">
        <v>262</v>
      </c>
      <c r="C74" s="9" t="s">
        <v>61</v>
      </c>
      <c r="D74" s="31"/>
      <c r="E74">
        <v>5</v>
      </c>
      <c r="F74">
        <v>3</v>
      </c>
      <c r="G74">
        <v>1</v>
      </c>
      <c r="I74" s="2">
        <v>3</v>
      </c>
      <c r="J74">
        <f t="shared" si="9"/>
        <v>6.25</v>
      </c>
      <c r="K74" s="31">
        <v>10</v>
      </c>
      <c r="V74" s="9" t="s">
        <v>263</v>
      </c>
      <c r="W74">
        <f t="shared" si="10"/>
        <v>0</v>
      </c>
      <c r="X74">
        <f>(8-$C$4)/2</f>
        <v>1.5</v>
      </c>
      <c r="Y74" s="2"/>
      <c r="Z74">
        <f t="shared" si="11"/>
        <v>4.75</v>
      </c>
      <c r="AA74" s="11">
        <f t="shared" si="12"/>
        <v>2.1052631578947367</v>
      </c>
      <c r="AB74" s="11">
        <f t="shared" si="13"/>
        <v>2.9473684210526314</v>
      </c>
      <c r="AC74" s="10">
        <f t="shared" si="14"/>
        <v>0.04</v>
      </c>
      <c r="AD74" s="10">
        <f t="shared" si="15"/>
        <v>0.04</v>
      </c>
    </row>
    <row r="75" spans="1:30" x14ac:dyDescent="0.25">
      <c r="A75" s="9" t="s">
        <v>211</v>
      </c>
      <c r="B75" t="s">
        <v>14</v>
      </c>
      <c r="C75" t="s">
        <v>64</v>
      </c>
      <c r="D75" s="31"/>
      <c r="E75">
        <v>2</v>
      </c>
      <c r="F75">
        <v>1</v>
      </c>
      <c r="G75">
        <v>2</v>
      </c>
      <c r="I75" s="2"/>
      <c r="J75">
        <f t="shared" si="9"/>
        <v>4</v>
      </c>
      <c r="K75" s="31">
        <v>11</v>
      </c>
      <c r="Q75">
        <v>4</v>
      </c>
      <c r="W75">
        <f t="shared" si="10"/>
        <v>1</v>
      </c>
      <c r="Y75" s="2"/>
      <c r="Z75">
        <f t="shared" si="11"/>
        <v>3</v>
      </c>
      <c r="AA75" s="11">
        <f t="shared" si="12"/>
        <v>3.6666666666666665</v>
      </c>
      <c r="AB75" s="11">
        <f t="shared" si="13"/>
        <v>5</v>
      </c>
      <c r="AC75" s="10">
        <f t="shared" si="14"/>
        <v>0.55000000000000004</v>
      </c>
      <c r="AD75" s="10">
        <f t="shared" si="15"/>
        <v>0.6</v>
      </c>
    </row>
    <row r="76" spans="1:30" x14ac:dyDescent="0.25">
      <c r="A76" s="9" t="s">
        <v>211</v>
      </c>
      <c r="B76" t="s">
        <v>31</v>
      </c>
      <c r="C76" t="s">
        <v>60</v>
      </c>
      <c r="D76" s="31"/>
      <c r="E76">
        <v>3</v>
      </c>
      <c r="F76">
        <v>2</v>
      </c>
      <c r="I76" s="2">
        <v>2</v>
      </c>
      <c r="J76">
        <f t="shared" si="9"/>
        <v>3.5</v>
      </c>
      <c r="K76" s="31">
        <v>6</v>
      </c>
      <c r="Q76">
        <v>6</v>
      </c>
      <c r="W76">
        <f t="shared" si="10"/>
        <v>1.5</v>
      </c>
      <c r="Y76" s="2"/>
      <c r="Z76">
        <f t="shared" si="11"/>
        <v>2</v>
      </c>
      <c r="AA76" s="11">
        <f t="shared" si="12"/>
        <v>3</v>
      </c>
      <c r="AB76" s="11">
        <f t="shared" si="13"/>
        <v>5</v>
      </c>
      <c r="AC76" s="10">
        <f t="shared" si="14"/>
        <v>0.22</v>
      </c>
      <c r="AD76" s="10">
        <f t="shared" si="15"/>
        <v>0.6</v>
      </c>
    </row>
    <row r="77" spans="1:30" x14ac:dyDescent="0.25">
      <c r="A77" s="9" t="s">
        <v>211</v>
      </c>
      <c r="B77" t="s">
        <v>26</v>
      </c>
      <c r="C77" t="s">
        <v>63</v>
      </c>
      <c r="D77" s="31">
        <v>2</v>
      </c>
      <c r="E77">
        <v>2</v>
      </c>
      <c r="F77">
        <v>1</v>
      </c>
      <c r="I77" s="2"/>
      <c r="J77">
        <f t="shared" ref="J77:J108" si="16">0.5+SUMPRODUCT(D77:I77,D$11:I$11)</f>
        <v>4</v>
      </c>
      <c r="K77" s="31">
        <v>11</v>
      </c>
      <c r="Q77">
        <v>4</v>
      </c>
      <c r="W77">
        <f t="shared" ref="W77:W108" si="17">SUMPRODUCT(L77:U77,L$11:U$11)</f>
        <v>1</v>
      </c>
      <c r="Y77" s="2"/>
      <c r="Z77">
        <f t="shared" ref="Z77:Z108" si="18">J77-(W77+X77)</f>
        <v>3</v>
      </c>
      <c r="AA77" s="11">
        <f t="shared" ref="AA77:AA108" si="19">IF(Z77&lt;=0,999,(K77+Y77)/(Z77))</f>
        <v>3.6666666666666665</v>
      </c>
      <c r="AB77" s="11">
        <f t="shared" ref="AB77:AB108" si="20">IF(Z77&lt;=0,999,(4+K77+Y77)/(Z77))</f>
        <v>5</v>
      </c>
      <c r="AC77" s="10">
        <f t="shared" ref="AC77:AC108" si="21">IFERROR(_xlfn.PERCENTRANK.INC(AA$13:AA$135,AA77,2),"")</f>
        <v>0.55000000000000004</v>
      </c>
      <c r="AD77" s="10">
        <f t="shared" ref="AD77:AD108" si="22">IFERROR(_xlfn.PERCENTRANK.INC(AB$13:AB$135,AB77,2),"")</f>
        <v>0.6</v>
      </c>
    </row>
    <row r="78" spans="1:30" x14ac:dyDescent="0.25">
      <c r="A78" s="9" t="s">
        <v>211</v>
      </c>
      <c r="B78" t="s">
        <v>52</v>
      </c>
      <c r="C78" t="s">
        <v>61</v>
      </c>
      <c r="D78" s="31">
        <v>1</v>
      </c>
      <c r="E78">
        <v>3</v>
      </c>
      <c r="F78">
        <v>1</v>
      </c>
      <c r="I78" s="2">
        <v>2</v>
      </c>
      <c r="J78">
        <f t="shared" si="16"/>
        <v>4</v>
      </c>
      <c r="K78" s="31">
        <v>11</v>
      </c>
      <c r="M78">
        <v>2</v>
      </c>
      <c r="W78">
        <f t="shared" si="17"/>
        <v>1</v>
      </c>
      <c r="Y78" s="2"/>
      <c r="Z78">
        <f t="shared" si="18"/>
        <v>3</v>
      </c>
      <c r="AA78" s="11">
        <f t="shared" si="19"/>
        <v>3.6666666666666665</v>
      </c>
      <c r="AB78" s="11">
        <f t="shared" si="20"/>
        <v>5</v>
      </c>
      <c r="AC78" s="10">
        <f t="shared" si="21"/>
        <v>0.55000000000000004</v>
      </c>
      <c r="AD78" s="10">
        <f t="shared" si="22"/>
        <v>0.6</v>
      </c>
    </row>
    <row r="79" spans="1:30" x14ac:dyDescent="0.25">
      <c r="A79" s="9" t="s">
        <v>211</v>
      </c>
      <c r="B79" t="s">
        <v>9</v>
      </c>
      <c r="C79" t="s">
        <v>61</v>
      </c>
      <c r="D79" s="31"/>
      <c r="E79">
        <v>4</v>
      </c>
      <c r="F79">
        <v>1</v>
      </c>
      <c r="G79">
        <v>1</v>
      </c>
      <c r="I79" s="2"/>
      <c r="J79">
        <f t="shared" si="16"/>
        <v>4</v>
      </c>
      <c r="K79" s="31">
        <v>11</v>
      </c>
      <c r="Q79">
        <v>4</v>
      </c>
      <c r="W79">
        <f t="shared" si="17"/>
        <v>1</v>
      </c>
      <c r="Y79" s="2"/>
      <c r="Z79">
        <f t="shared" si="18"/>
        <v>3</v>
      </c>
      <c r="AA79" s="11">
        <f t="shared" si="19"/>
        <v>3.6666666666666665</v>
      </c>
      <c r="AB79" s="11">
        <f t="shared" si="20"/>
        <v>5</v>
      </c>
      <c r="AC79" s="10">
        <f t="shared" si="21"/>
        <v>0.55000000000000004</v>
      </c>
      <c r="AD79" s="10">
        <f t="shared" si="22"/>
        <v>0.6</v>
      </c>
    </row>
    <row r="80" spans="1:30" x14ac:dyDescent="0.25">
      <c r="A80" s="9" t="s">
        <v>211</v>
      </c>
      <c r="B80" t="s">
        <v>27</v>
      </c>
      <c r="C80" t="s">
        <v>60</v>
      </c>
      <c r="D80" s="31">
        <v>1</v>
      </c>
      <c r="E80">
        <v>2</v>
      </c>
      <c r="F80">
        <v>2</v>
      </c>
      <c r="G80">
        <v>1</v>
      </c>
      <c r="I80" s="2">
        <v>4</v>
      </c>
      <c r="J80">
        <f t="shared" si="16"/>
        <v>5.5</v>
      </c>
      <c r="K80" s="31">
        <v>18</v>
      </c>
      <c r="R80">
        <v>2</v>
      </c>
      <c r="W80">
        <f t="shared" si="17"/>
        <v>1</v>
      </c>
      <c r="Y80" s="2"/>
      <c r="Z80">
        <f t="shared" si="18"/>
        <v>4.5</v>
      </c>
      <c r="AA80" s="11">
        <f t="shared" si="19"/>
        <v>4</v>
      </c>
      <c r="AB80" s="11">
        <f t="shared" si="20"/>
        <v>4.8888888888888893</v>
      </c>
      <c r="AC80" s="10">
        <f t="shared" si="21"/>
        <v>0.67</v>
      </c>
      <c r="AD80" s="10">
        <f t="shared" si="22"/>
        <v>0.59</v>
      </c>
    </row>
    <row r="81" spans="1:30" x14ac:dyDescent="0.25">
      <c r="A81" s="9" t="s">
        <v>211</v>
      </c>
      <c r="B81" t="s">
        <v>30</v>
      </c>
      <c r="C81" t="s">
        <v>64</v>
      </c>
      <c r="D81" s="31">
        <v>1</v>
      </c>
      <c r="E81">
        <v>1</v>
      </c>
      <c r="G81">
        <v>2</v>
      </c>
      <c r="I81" s="2"/>
      <c r="J81">
        <f t="shared" si="16"/>
        <v>4</v>
      </c>
      <c r="K81" s="31">
        <v>13</v>
      </c>
      <c r="R81">
        <v>1</v>
      </c>
      <c r="W81">
        <f t="shared" si="17"/>
        <v>0.5</v>
      </c>
      <c r="Y81" s="2"/>
      <c r="Z81">
        <f t="shared" si="18"/>
        <v>3.5</v>
      </c>
      <c r="AA81" s="11">
        <f t="shared" si="19"/>
        <v>3.7142857142857144</v>
      </c>
      <c r="AB81" s="11">
        <f t="shared" si="20"/>
        <v>4.8571428571428568</v>
      </c>
      <c r="AC81" s="10">
        <f t="shared" si="21"/>
        <v>0.59</v>
      </c>
      <c r="AD81" s="10">
        <f t="shared" si="22"/>
        <v>0.59</v>
      </c>
    </row>
    <row r="82" spans="1:30" x14ac:dyDescent="0.25">
      <c r="A82" s="9" t="s">
        <v>211</v>
      </c>
      <c r="B82" t="s">
        <v>32</v>
      </c>
      <c r="C82" t="s">
        <v>60</v>
      </c>
      <c r="D82" s="31"/>
      <c r="E82">
        <v>2</v>
      </c>
      <c r="F82">
        <v>2</v>
      </c>
      <c r="I82" s="2">
        <v>4</v>
      </c>
      <c r="J82">
        <f t="shared" si="16"/>
        <v>3.5</v>
      </c>
      <c r="K82" s="31">
        <v>6</v>
      </c>
      <c r="V82" t="s">
        <v>80</v>
      </c>
      <c r="W82">
        <f t="shared" si="17"/>
        <v>0</v>
      </c>
      <c r="Y82" s="2">
        <f>(8-$C$4)</f>
        <v>3</v>
      </c>
      <c r="Z82">
        <f t="shared" si="18"/>
        <v>3.5</v>
      </c>
      <c r="AA82" s="11">
        <f t="shared" si="19"/>
        <v>2.5714285714285716</v>
      </c>
      <c r="AB82" s="11">
        <f t="shared" si="20"/>
        <v>3.7142857142857144</v>
      </c>
      <c r="AC82" s="10">
        <f t="shared" si="21"/>
        <v>0.15</v>
      </c>
      <c r="AD82" s="10">
        <f t="shared" si="22"/>
        <v>0.11</v>
      </c>
    </row>
    <row r="83" spans="1:30" x14ac:dyDescent="0.25">
      <c r="A83" s="9" t="s">
        <v>211</v>
      </c>
      <c r="B83" t="s">
        <v>45</v>
      </c>
      <c r="C83" t="s">
        <v>64</v>
      </c>
      <c r="D83" s="31"/>
      <c r="G83">
        <v>5</v>
      </c>
      <c r="I83" s="2">
        <v>2</v>
      </c>
      <c r="J83">
        <f t="shared" si="16"/>
        <v>6</v>
      </c>
      <c r="K83" s="31">
        <v>25</v>
      </c>
      <c r="W83">
        <f t="shared" si="17"/>
        <v>0</v>
      </c>
      <c r="Y83" s="2"/>
      <c r="Z83">
        <f t="shared" si="18"/>
        <v>6</v>
      </c>
      <c r="AA83" s="11">
        <f t="shared" si="19"/>
        <v>4.166666666666667</v>
      </c>
      <c r="AB83" s="11">
        <f t="shared" si="20"/>
        <v>4.833333333333333</v>
      </c>
      <c r="AC83" s="10">
        <f t="shared" si="21"/>
        <v>0.82</v>
      </c>
      <c r="AD83" s="10">
        <f t="shared" si="22"/>
        <v>0.54</v>
      </c>
    </row>
    <row r="84" spans="1:30" x14ac:dyDescent="0.25">
      <c r="A84" s="9" t="s">
        <v>211</v>
      </c>
      <c r="B84" t="s">
        <v>59</v>
      </c>
      <c r="C84" t="s">
        <v>60</v>
      </c>
      <c r="D84" s="31">
        <v>1</v>
      </c>
      <c r="F84">
        <v>3</v>
      </c>
      <c r="G84">
        <v>1</v>
      </c>
      <c r="I84" s="2">
        <v>8</v>
      </c>
      <c r="J84">
        <f t="shared" si="16"/>
        <v>6</v>
      </c>
      <c r="K84" s="31">
        <v>25</v>
      </c>
      <c r="W84">
        <f t="shared" si="17"/>
        <v>0</v>
      </c>
      <c r="Y84" s="2"/>
      <c r="Z84">
        <f t="shared" si="18"/>
        <v>6</v>
      </c>
      <c r="AA84" s="11">
        <f t="shared" si="19"/>
        <v>4.166666666666667</v>
      </c>
      <c r="AB84" s="11">
        <f t="shared" si="20"/>
        <v>4.833333333333333</v>
      </c>
      <c r="AC84" s="10">
        <f t="shared" si="21"/>
        <v>0.82</v>
      </c>
      <c r="AD84" s="10">
        <f t="shared" si="22"/>
        <v>0.54</v>
      </c>
    </row>
    <row r="85" spans="1:30" x14ac:dyDescent="0.25">
      <c r="A85" s="9" t="s">
        <v>211</v>
      </c>
      <c r="B85" t="s">
        <v>25</v>
      </c>
      <c r="C85" t="s">
        <v>63</v>
      </c>
      <c r="D85" s="31">
        <v>5</v>
      </c>
      <c r="I85" s="2">
        <v>2</v>
      </c>
      <c r="J85">
        <f t="shared" si="16"/>
        <v>6</v>
      </c>
      <c r="K85" s="31">
        <v>25</v>
      </c>
      <c r="W85">
        <f t="shared" si="17"/>
        <v>0</v>
      </c>
      <c r="Y85" s="2"/>
      <c r="Z85">
        <f t="shared" si="18"/>
        <v>6</v>
      </c>
      <c r="AA85" s="11">
        <f t="shared" si="19"/>
        <v>4.166666666666667</v>
      </c>
      <c r="AB85" s="11">
        <f t="shared" si="20"/>
        <v>4.833333333333333</v>
      </c>
      <c r="AC85" s="10">
        <f t="shared" si="21"/>
        <v>0.82</v>
      </c>
      <c r="AD85" s="10">
        <f t="shared" si="22"/>
        <v>0.54</v>
      </c>
    </row>
    <row r="86" spans="1:30" x14ac:dyDescent="0.25">
      <c r="A86" s="9" t="s">
        <v>211</v>
      </c>
      <c r="B86" t="s">
        <v>24</v>
      </c>
      <c r="C86" t="s">
        <v>62</v>
      </c>
      <c r="D86" s="31"/>
      <c r="E86">
        <v>1</v>
      </c>
      <c r="F86">
        <v>8</v>
      </c>
      <c r="G86">
        <v>1</v>
      </c>
      <c r="I86" s="2"/>
      <c r="J86">
        <f t="shared" si="16"/>
        <v>6</v>
      </c>
      <c r="K86" s="31">
        <v>25</v>
      </c>
      <c r="W86">
        <f t="shared" si="17"/>
        <v>0</v>
      </c>
      <c r="Y86" s="2"/>
      <c r="Z86">
        <f t="shared" si="18"/>
        <v>6</v>
      </c>
      <c r="AA86" s="11">
        <f t="shared" si="19"/>
        <v>4.166666666666667</v>
      </c>
      <c r="AB86" s="11">
        <f t="shared" si="20"/>
        <v>4.833333333333333</v>
      </c>
      <c r="AC86" s="10">
        <f t="shared" si="21"/>
        <v>0.82</v>
      </c>
      <c r="AD86" s="10">
        <f t="shared" si="22"/>
        <v>0.54</v>
      </c>
    </row>
    <row r="87" spans="1:30" x14ac:dyDescent="0.25">
      <c r="A87" s="9" t="s">
        <v>211</v>
      </c>
      <c r="B87" t="s">
        <v>13</v>
      </c>
      <c r="C87" t="s">
        <v>61</v>
      </c>
      <c r="D87" s="31"/>
      <c r="E87">
        <v>9</v>
      </c>
      <c r="F87">
        <v>2</v>
      </c>
      <c r="I87" s="2"/>
      <c r="J87">
        <f t="shared" si="16"/>
        <v>6</v>
      </c>
      <c r="K87" s="31">
        <v>25</v>
      </c>
      <c r="W87">
        <f t="shared" si="17"/>
        <v>0</v>
      </c>
      <c r="Y87" s="2"/>
      <c r="Z87">
        <f t="shared" si="18"/>
        <v>6</v>
      </c>
      <c r="AA87" s="11">
        <f t="shared" si="19"/>
        <v>4.166666666666667</v>
      </c>
      <c r="AB87" s="11">
        <f t="shared" si="20"/>
        <v>4.833333333333333</v>
      </c>
      <c r="AC87" s="10">
        <f t="shared" si="21"/>
        <v>0.82</v>
      </c>
      <c r="AD87" s="10">
        <f t="shared" si="22"/>
        <v>0.54</v>
      </c>
    </row>
    <row r="88" spans="1:30" x14ac:dyDescent="0.25">
      <c r="A88" s="9" t="s">
        <v>211</v>
      </c>
      <c r="B88" t="s">
        <v>43</v>
      </c>
      <c r="C88" t="s">
        <v>64</v>
      </c>
      <c r="D88" s="31">
        <v>1</v>
      </c>
      <c r="E88">
        <v>1</v>
      </c>
      <c r="F88">
        <v>2</v>
      </c>
      <c r="G88">
        <v>2</v>
      </c>
      <c r="I88" s="2">
        <v>2</v>
      </c>
      <c r="J88">
        <f t="shared" si="16"/>
        <v>5.5</v>
      </c>
      <c r="K88" s="31">
        <v>20</v>
      </c>
      <c r="R88">
        <v>1</v>
      </c>
      <c r="W88">
        <f t="shared" si="17"/>
        <v>0.5</v>
      </c>
      <c r="Y88" s="2"/>
      <c r="Z88">
        <f t="shared" si="18"/>
        <v>5</v>
      </c>
      <c r="AA88" s="11">
        <f t="shared" si="19"/>
        <v>4</v>
      </c>
      <c r="AB88" s="11">
        <f t="shared" si="20"/>
        <v>4.8</v>
      </c>
      <c r="AC88" s="10">
        <f t="shared" si="21"/>
        <v>0.67</v>
      </c>
      <c r="AD88" s="10">
        <f t="shared" si="22"/>
        <v>0.4</v>
      </c>
    </row>
    <row r="89" spans="1:30" x14ac:dyDescent="0.25">
      <c r="A89" s="9" t="s">
        <v>211</v>
      </c>
      <c r="B89" t="s">
        <v>74</v>
      </c>
      <c r="C89" t="s">
        <v>64</v>
      </c>
      <c r="D89" s="31">
        <v>1</v>
      </c>
      <c r="G89">
        <v>2</v>
      </c>
      <c r="I89" s="2"/>
      <c r="J89">
        <f t="shared" si="16"/>
        <v>3.5</v>
      </c>
      <c r="K89" s="31">
        <v>8</v>
      </c>
      <c r="M89">
        <v>1</v>
      </c>
      <c r="Q89">
        <v>2</v>
      </c>
      <c r="W89">
        <f t="shared" si="17"/>
        <v>1</v>
      </c>
      <c r="Y89" s="2"/>
      <c r="Z89">
        <f t="shared" si="18"/>
        <v>2.5</v>
      </c>
      <c r="AA89" s="11">
        <f t="shared" si="19"/>
        <v>3.2</v>
      </c>
      <c r="AB89" s="11">
        <f t="shared" si="20"/>
        <v>4.8</v>
      </c>
      <c r="AC89" s="10">
        <f t="shared" si="21"/>
        <v>0.31</v>
      </c>
      <c r="AD89" s="10">
        <f t="shared" si="22"/>
        <v>0.4</v>
      </c>
    </row>
    <row r="90" spans="1:30" x14ac:dyDescent="0.25">
      <c r="A90" s="9" t="s">
        <v>267</v>
      </c>
      <c r="B90" s="9" t="s">
        <v>270</v>
      </c>
      <c r="C90" s="9" t="s">
        <v>64</v>
      </c>
      <c r="D90" s="31"/>
      <c r="E90">
        <v>1</v>
      </c>
      <c r="G90">
        <v>1</v>
      </c>
      <c r="I90" s="2">
        <v>2</v>
      </c>
      <c r="J90">
        <f t="shared" si="16"/>
        <v>2.5</v>
      </c>
      <c r="K90" s="31">
        <v>8</v>
      </c>
      <c r="V90" s="9" t="s">
        <v>271</v>
      </c>
      <c r="W90">
        <f t="shared" si="17"/>
        <v>0</v>
      </c>
      <c r="Y90" s="2"/>
      <c r="Z90">
        <f t="shared" si="18"/>
        <v>2.5</v>
      </c>
      <c r="AA90" s="11">
        <f t="shared" si="19"/>
        <v>3.2</v>
      </c>
      <c r="AB90" s="11">
        <f t="shared" si="20"/>
        <v>4.8</v>
      </c>
      <c r="AC90" s="10">
        <f t="shared" si="21"/>
        <v>0.31</v>
      </c>
      <c r="AD90" s="10">
        <f t="shared" si="22"/>
        <v>0.4</v>
      </c>
    </row>
    <row r="91" spans="1:30" x14ac:dyDescent="0.25">
      <c r="A91" s="9" t="s">
        <v>267</v>
      </c>
      <c r="B91" s="9" t="s">
        <v>281</v>
      </c>
      <c r="C91" s="9" t="s">
        <v>60</v>
      </c>
      <c r="D91" s="31">
        <v>1</v>
      </c>
      <c r="F91">
        <v>1</v>
      </c>
      <c r="G91">
        <v>2</v>
      </c>
      <c r="I91" s="2">
        <v>4</v>
      </c>
      <c r="J91">
        <f t="shared" si="16"/>
        <v>5</v>
      </c>
      <c r="K91" s="31">
        <v>20</v>
      </c>
      <c r="Q91">
        <v>12</v>
      </c>
      <c r="T91">
        <v>3</v>
      </c>
      <c r="W91">
        <f t="shared" si="17"/>
        <v>0</v>
      </c>
      <c r="Y91" s="2"/>
      <c r="Z91">
        <f t="shared" si="18"/>
        <v>5</v>
      </c>
      <c r="AA91" s="11">
        <f t="shared" si="19"/>
        <v>4</v>
      </c>
      <c r="AB91" s="11">
        <f t="shared" si="20"/>
        <v>4.8</v>
      </c>
      <c r="AC91" s="10">
        <f t="shared" si="21"/>
        <v>0.67</v>
      </c>
      <c r="AD91" s="10">
        <f t="shared" si="22"/>
        <v>0.4</v>
      </c>
    </row>
    <row r="92" spans="1:30" x14ac:dyDescent="0.25">
      <c r="A92" s="9" t="s">
        <v>217</v>
      </c>
      <c r="B92" s="9" t="s">
        <v>231</v>
      </c>
      <c r="C92" s="9" t="s">
        <v>60</v>
      </c>
      <c r="D92" s="31">
        <v>1</v>
      </c>
      <c r="G92">
        <v>1</v>
      </c>
      <c r="I92" s="2"/>
      <c r="J92">
        <f t="shared" si="16"/>
        <v>2.5</v>
      </c>
      <c r="K92" s="31">
        <v>8</v>
      </c>
      <c r="V92" s="9" t="s">
        <v>234</v>
      </c>
      <c r="W92">
        <f t="shared" si="17"/>
        <v>0</v>
      </c>
      <c r="Y92" s="2"/>
      <c r="Z92">
        <f t="shared" si="18"/>
        <v>2.5</v>
      </c>
      <c r="AA92" s="11">
        <f t="shared" si="19"/>
        <v>3.2</v>
      </c>
      <c r="AB92" s="11">
        <f t="shared" si="20"/>
        <v>4.8</v>
      </c>
      <c r="AC92" s="10">
        <f t="shared" si="21"/>
        <v>0.31</v>
      </c>
      <c r="AD92" s="10">
        <f t="shared" si="22"/>
        <v>0.4</v>
      </c>
    </row>
    <row r="93" spans="1:30" x14ac:dyDescent="0.25">
      <c r="A93" s="9" t="s">
        <v>267</v>
      </c>
      <c r="B93" s="9" t="s">
        <v>279</v>
      </c>
      <c r="C93" s="9" t="s">
        <v>60</v>
      </c>
      <c r="D93" s="31"/>
      <c r="F93">
        <v>2</v>
      </c>
      <c r="I93" s="2">
        <v>4</v>
      </c>
      <c r="J93">
        <f t="shared" si="16"/>
        <v>2.5</v>
      </c>
      <c r="K93" s="31">
        <v>8</v>
      </c>
      <c r="V93" s="9" t="s">
        <v>280</v>
      </c>
      <c r="W93">
        <f t="shared" si="17"/>
        <v>0</v>
      </c>
      <c r="Y93" s="2"/>
      <c r="Z93">
        <f t="shared" si="18"/>
        <v>2.5</v>
      </c>
      <c r="AA93" s="11">
        <f t="shared" si="19"/>
        <v>3.2</v>
      </c>
      <c r="AB93" s="11">
        <f t="shared" si="20"/>
        <v>4.8</v>
      </c>
      <c r="AC93" s="10">
        <f t="shared" si="21"/>
        <v>0.31</v>
      </c>
      <c r="AD93" s="10">
        <f t="shared" si="22"/>
        <v>0.4</v>
      </c>
    </row>
    <row r="94" spans="1:30" x14ac:dyDescent="0.25">
      <c r="A94" s="9" t="s">
        <v>211</v>
      </c>
      <c r="B94" t="s">
        <v>37</v>
      </c>
      <c r="C94" t="s">
        <v>63</v>
      </c>
      <c r="D94" s="31">
        <v>2</v>
      </c>
      <c r="F94">
        <v>3</v>
      </c>
      <c r="I94" s="2">
        <v>4</v>
      </c>
      <c r="J94">
        <f t="shared" si="16"/>
        <v>5</v>
      </c>
      <c r="K94" s="31">
        <v>20</v>
      </c>
      <c r="W94">
        <f t="shared" si="17"/>
        <v>0</v>
      </c>
      <c r="Y94" s="2"/>
      <c r="Z94">
        <f t="shared" si="18"/>
        <v>5</v>
      </c>
      <c r="AA94" s="11">
        <f t="shared" si="19"/>
        <v>4</v>
      </c>
      <c r="AB94" s="11">
        <f t="shared" si="20"/>
        <v>4.8</v>
      </c>
      <c r="AC94" s="10">
        <f t="shared" si="21"/>
        <v>0.67</v>
      </c>
      <c r="AD94" s="10">
        <f t="shared" si="22"/>
        <v>0.4</v>
      </c>
    </row>
    <row r="95" spans="1:30" x14ac:dyDescent="0.25">
      <c r="A95" s="9" t="s">
        <v>267</v>
      </c>
      <c r="B95" s="9" t="s">
        <v>286</v>
      </c>
      <c r="C95" s="9" t="s">
        <v>63</v>
      </c>
      <c r="D95" s="31">
        <v>1</v>
      </c>
      <c r="F95">
        <v>1</v>
      </c>
      <c r="I95" s="2">
        <v>2</v>
      </c>
      <c r="J95">
        <f t="shared" si="16"/>
        <v>2.5</v>
      </c>
      <c r="K95" s="31">
        <v>8</v>
      </c>
      <c r="V95" s="9" t="s">
        <v>287</v>
      </c>
      <c r="W95">
        <f t="shared" si="17"/>
        <v>0</v>
      </c>
      <c r="Y95" s="2"/>
      <c r="Z95">
        <f t="shared" si="18"/>
        <v>2.5</v>
      </c>
      <c r="AA95" s="11">
        <f t="shared" si="19"/>
        <v>3.2</v>
      </c>
      <c r="AB95" s="11">
        <f t="shared" si="20"/>
        <v>4.8</v>
      </c>
      <c r="AC95" s="10">
        <f t="shared" si="21"/>
        <v>0.31</v>
      </c>
      <c r="AD95" s="10">
        <f t="shared" si="22"/>
        <v>0.4</v>
      </c>
    </row>
    <row r="96" spans="1:30" x14ac:dyDescent="0.25">
      <c r="A96" s="9" t="s">
        <v>211</v>
      </c>
      <c r="B96" t="s">
        <v>44</v>
      </c>
      <c r="C96" t="s">
        <v>62</v>
      </c>
      <c r="D96" s="31">
        <v>1</v>
      </c>
      <c r="E96">
        <v>2</v>
      </c>
      <c r="F96">
        <v>4</v>
      </c>
      <c r="G96">
        <v>1</v>
      </c>
      <c r="I96" s="2"/>
      <c r="J96">
        <f t="shared" si="16"/>
        <v>5.5</v>
      </c>
      <c r="K96" s="31">
        <v>20</v>
      </c>
      <c r="Q96">
        <v>2</v>
      </c>
      <c r="W96">
        <f t="shared" si="17"/>
        <v>0.5</v>
      </c>
      <c r="Y96" s="2"/>
      <c r="Z96">
        <f t="shared" si="18"/>
        <v>5</v>
      </c>
      <c r="AA96" s="11">
        <f t="shared" si="19"/>
        <v>4</v>
      </c>
      <c r="AB96" s="11">
        <f t="shared" si="20"/>
        <v>4.8</v>
      </c>
      <c r="AC96" s="10">
        <f t="shared" si="21"/>
        <v>0.67</v>
      </c>
      <c r="AD96" s="10">
        <f t="shared" si="22"/>
        <v>0.4</v>
      </c>
    </row>
    <row r="97" spans="1:30" x14ac:dyDescent="0.25">
      <c r="A97" s="9" t="s">
        <v>211</v>
      </c>
      <c r="B97" t="s">
        <v>55</v>
      </c>
      <c r="C97" t="s">
        <v>62</v>
      </c>
      <c r="D97" s="31"/>
      <c r="F97">
        <v>3</v>
      </c>
      <c r="I97" s="2">
        <v>6</v>
      </c>
      <c r="J97">
        <f t="shared" si="16"/>
        <v>3.5</v>
      </c>
      <c r="K97" s="31">
        <v>8</v>
      </c>
      <c r="R97">
        <v>2</v>
      </c>
      <c r="W97">
        <f t="shared" si="17"/>
        <v>1</v>
      </c>
      <c r="Y97" s="2"/>
      <c r="Z97">
        <f t="shared" si="18"/>
        <v>2.5</v>
      </c>
      <c r="AA97" s="11">
        <f t="shared" si="19"/>
        <v>3.2</v>
      </c>
      <c r="AB97" s="11">
        <f t="shared" si="20"/>
        <v>4.8</v>
      </c>
      <c r="AC97" s="10">
        <f t="shared" si="21"/>
        <v>0.31</v>
      </c>
      <c r="AD97" s="10">
        <f t="shared" si="22"/>
        <v>0.4</v>
      </c>
    </row>
    <row r="98" spans="1:30" x14ac:dyDescent="0.25">
      <c r="A98" s="9" t="s">
        <v>267</v>
      </c>
      <c r="B98" s="9" t="s">
        <v>293</v>
      </c>
      <c r="C98" s="9" t="s">
        <v>62</v>
      </c>
      <c r="D98" s="31"/>
      <c r="E98">
        <v>1</v>
      </c>
      <c r="F98">
        <v>2</v>
      </c>
      <c r="I98" s="2">
        <v>2</v>
      </c>
      <c r="J98">
        <f t="shared" si="16"/>
        <v>2.5</v>
      </c>
      <c r="K98" s="31">
        <v>8</v>
      </c>
      <c r="V98" s="9" t="s">
        <v>294</v>
      </c>
      <c r="W98">
        <f t="shared" si="17"/>
        <v>0</v>
      </c>
      <c r="Y98" s="2"/>
      <c r="Z98">
        <f t="shared" si="18"/>
        <v>2.5</v>
      </c>
      <c r="AA98" s="11">
        <f t="shared" si="19"/>
        <v>3.2</v>
      </c>
      <c r="AB98" s="11">
        <f t="shared" si="20"/>
        <v>4.8</v>
      </c>
      <c r="AC98" s="10">
        <f t="shared" si="21"/>
        <v>0.31</v>
      </c>
      <c r="AD98" s="10">
        <f t="shared" si="22"/>
        <v>0.4</v>
      </c>
    </row>
    <row r="99" spans="1:30" x14ac:dyDescent="0.25">
      <c r="A99" s="9" t="s">
        <v>211</v>
      </c>
      <c r="B99" t="s">
        <v>41</v>
      </c>
      <c r="C99" t="s">
        <v>61</v>
      </c>
      <c r="D99" s="31">
        <v>1</v>
      </c>
      <c r="E99">
        <v>4</v>
      </c>
      <c r="F99">
        <v>2</v>
      </c>
      <c r="G99">
        <v>1</v>
      </c>
      <c r="I99" s="2"/>
      <c r="J99">
        <f t="shared" si="16"/>
        <v>5.5</v>
      </c>
      <c r="K99" s="31">
        <v>20</v>
      </c>
      <c r="Q99">
        <v>2</v>
      </c>
      <c r="W99">
        <f t="shared" si="17"/>
        <v>0.5</v>
      </c>
      <c r="Y99" s="2"/>
      <c r="Z99">
        <f t="shared" si="18"/>
        <v>5</v>
      </c>
      <c r="AA99" s="11">
        <f t="shared" si="19"/>
        <v>4</v>
      </c>
      <c r="AB99" s="11">
        <f t="shared" si="20"/>
        <v>4.8</v>
      </c>
      <c r="AC99" s="10">
        <f t="shared" si="21"/>
        <v>0.67</v>
      </c>
      <c r="AD99" s="10">
        <f t="shared" si="22"/>
        <v>0.4</v>
      </c>
    </row>
    <row r="100" spans="1:30" x14ac:dyDescent="0.25">
      <c r="A100" s="9" t="s">
        <v>217</v>
      </c>
      <c r="B100" s="9" t="s">
        <v>261</v>
      </c>
      <c r="C100" s="9" t="s">
        <v>61</v>
      </c>
      <c r="D100" s="31">
        <v>1</v>
      </c>
      <c r="E100">
        <v>6</v>
      </c>
      <c r="I100" s="2">
        <v>2</v>
      </c>
      <c r="J100">
        <f t="shared" si="16"/>
        <v>5</v>
      </c>
      <c r="K100" s="31">
        <v>20</v>
      </c>
      <c r="V100" s="9" t="s">
        <v>234</v>
      </c>
      <c r="W100">
        <f t="shared" si="17"/>
        <v>0</v>
      </c>
      <c r="Y100" s="2"/>
      <c r="Z100">
        <f t="shared" si="18"/>
        <v>5</v>
      </c>
      <c r="AA100" s="11">
        <f t="shared" si="19"/>
        <v>4</v>
      </c>
      <c r="AB100" s="11">
        <f t="shared" si="20"/>
        <v>4.8</v>
      </c>
      <c r="AC100" s="10">
        <f t="shared" si="21"/>
        <v>0.67</v>
      </c>
      <c r="AD100" s="10">
        <f t="shared" si="22"/>
        <v>0.4</v>
      </c>
    </row>
    <row r="101" spans="1:30" x14ac:dyDescent="0.25">
      <c r="A101" s="9" t="s">
        <v>211</v>
      </c>
      <c r="B101" t="s">
        <v>12</v>
      </c>
      <c r="C101" t="s">
        <v>61</v>
      </c>
      <c r="D101" s="31">
        <v>1</v>
      </c>
      <c r="E101">
        <v>3</v>
      </c>
      <c r="F101">
        <v>1</v>
      </c>
      <c r="I101" s="2"/>
      <c r="J101">
        <f t="shared" si="16"/>
        <v>3.5</v>
      </c>
      <c r="K101" s="31">
        <v>8</v>
      </c>
      <c r="Q101">
        <v>4</v>
      </c>
      <c r="W101">
        <f t="shared" si="17"/>
        <v>1</v>
      </c>
      <c r="Y101" s="2"/>
      <c r="Z101">
        <f t="shared" si="18"/>
        <v>2.5</v>
      </c>
      <c r="AA101" s="11">
        <f t="shared" si="19"/>
        <v>3.2</v>
      </c>
      <c r="AB101" s="11">
        <f t="shared" si="20"/>
        <v>4.8</v>
      </c>
      <c r="AC101" s="10">
        <f t="shared" si="21"/>
        <v>0.31</v>
      </c>
      <c r="AD101" s="10">
        <f t="shared" si="22"/>
        <v>0.4</v>
      </c>
    </row>
    <row r="102" spans="1:30" x14ac:dyDescent="0.25">
      <c r="A102" s="9" t="s">
        <v>211</v>
      </c>
      <c r="B102" t="s">
        <v>53</v>
      </c>
      <c r="C102" t="s">
        <v>61</v>
      </c>
      <c r="D102" s="31"/>
      <c r="E102">
        <v>4</v>
      </c>
      <c r="F102">
        <v>2</v>
      </c>
      <c r="I102" s="2"/>
      <c r="J102">
        <f t="shared" si="16"/>
        <v>3.5</v>
      </c>
      <c r="K102" s="31">
        <v>8</v>
      </c>
      <c r="Q102">
        <v>4</v>
      </c>
      <c r="W102">
        <f t="shared" si="17"/>
        <v>1</v>
      </c>
      <c r="Y102" s="2"/>
      <c r="Z102">
        <f t="shared" si="18"/>
        <v>2.5</v>
      </c>
      <c r="AA102" s="11">
        <f t="shared" si="19"/>
        <v>3.2</v>
      </c>
      <c r="AB102" s="11">
        <f t="shared" si="20"/>
        <v>4.8</v>
      </c>
      <c r="AC102" s="10">
        <f t="shared" si="21"/>
        <v>0.31</v>
      </c>
      <c r="AD102" s="10">
        <f t="shared" si="22"/>
        <v>0.4</v>
      </c>
    </row>
    <row r="103" spans="1:30" x14ac:dyDescent="0.25">
      <c r="A103" s="9" t="s">
        <v>267</v>
      </c>
      <c r="B103" s="9" t="s">
        <v>302</v>
      </c>
      <c r="C103" s="9" t="s">
        <v>61</v>
      </c>
      <c r="D103" s="31"/>
      <c r="E103">
        <v>3</v>
      </c>
      <c r="I103" s="2">
        <v>2</v>
      </c>
      <c r="J103">
        <f t="shared" si="16"/>
        <v>2.5</v>
      </c>
      <c r="K103" s="31">
        <v>8</v>
      </c>
      <c r="V103" s="9" t="s">
        <v>303</v>
      </c>
      <c r="W103">
        <f t="shared" si="17"/>
        <v>0</v>
      </c>
      <c r="Y103" s="2"/>
      <c r="Z103">
        <f t="shared" si="18"/>
        <v>2.5</v>
      </c>
      <c r="AA103" s="11">
        <f t="shared" si="19"/>
        <v>3.2</v>
      </c>
      <c r="AB103" s="11">
        <f t="shared" si="20"/>
        <v>4.8</v>
      </c>
      <c r="AC103" s="10">
        <f t="shared" si="21"/>
        <v>0.31</v>
      </c>
      <c r="AD103" s="10">
        <f t="shared" si="22"/>
        <v>0.4</v>
      </c>
    </row>
    <row r="104" spans="1:30" x14ac:dyDescent="0.25">
      <c r="A104" s="9" t="s">
        <v>267</v>
      </c>
      <c r="B104" s="9" t="s">
        <v>304</v>
      </c>
      <c r="C104" s="9" t="s">
        <v>61</v>
      </c>
      <c r="D104" s="31">
        <v>1</v>
      </c>
      <c r="E104">
        <v>4</v>
      </c>
      <c r="F104">
        <v>2</v>
      </c>
      <c r="I104" s="2">
        <v>4</v>
      </c>
      <c r="J104">
        <f t="shared" si="16"/>
        <v>5.5</v>
      </c>
      <c r="K104" s="31">
        <v>8</v>
      </c>
      <c r="T104">
        <v>-3</v>
      </c>
      <c r="W104">
        <f t="shared" si="17"/>
        <v>3</v>
      </c>
      <c r="Y104" s="2"/>
      <c r="Z104">
        <f t="shared" si="18"/>
        <v>2.5</v>
      </c>
      <c r="AA104" s="11">
        <f t="shared" si="19"/>
        <v>3.2</v>
      </c>
      <c r="AB104" s="11">
        <f t="shared" si="20"/>
        <v>4.8</v>
      </c>
      <c r="AC104" s="10">
        <f t="shared" si="21"/>
        <v>0.31</v>
      </c>
      <c r="AD104" s="10">
        <f t="shared" si="22"/>
        <v>0.4</v>
      </c>
    </row>
    <row r="105" spans="1:30" x14ac:dyDescent="0.25">
      <c r="A105" s="9" t="s">
        <v>217</v>
      </c>
      <c r="B105" s="9" t="s">
        <v>250</v>
      </c>
      <c r="C105" s="9" t="s">
        <v>62</v>
      </c>
      <c r="D105" s="31">
        <v>1</v>
      </c>
      <c r="F105">
        <v>7</v>
      </c>
      <c r="G105">
        <v>2</v>
      </c>
      <c r="I105" s="2">
        <v>9</v>
      </c>
      <c r="J105">
        <f t="shared" si="16"/>
        <v>9.25</v>
      </c>
      <c r="K105" s="31">
        <v>40</v>
      </c>
      <c r="W105">
        <f t="shared" si="17"/>
        <v>0</v>
      </c>
      <c r="Y105" s="2"/>
      <c r="Z105">
        <f t="shared" si="18"/>
        <v>9.25</v>
      </c>
      <c r="AA105" s="11">
        <f t="shared" si="19"/>
        <v>4.3243243243243246</v>
      </c>
      <c r="AB105" s="11">
        <f t="shared" si="20"/>
        <v>4.756756756756757</v>
      </c>
      <c r="AC105" s="10">
        <f t="shared" si="21"/>
        <v>0.87</v>
      </c>
      <c r="AD105" s="10">
        <f t="shared" si="22"/>
        <v>0.4</v>
      </c>
    </row>
    <row r="106" spans="1:30" x14ac:dyDescent="0.25">
      <c r="A106" s="9" t="s">
        <v>217</v>
      </c>
      <c r="B106" s="9" t="s">
        <v>223</v>
      </c>
      <c r="C106" s="9" t="s">
        <v>64</v>
      </c>
      <c r="D106" s="31">
        <v>1</v>
      </c>
      <c r="E106">
        <v>1</v>
      </c>
      <c r="H106">
        <v>4</v>
      </c>
      <c r="I106" s="2"/>
      <c r="J106">
        <f t="shared" si="16"/>
        <v>4</v>
      </c>
      <c r="K106" s="31">
        <v>15</v>
      </c>
      <c r="V106" s="9" t="s">
        <v>227</v>
      </c>
      <c r="W106">
        <f t="shared" si="17"/>
        <v>0</v>
      </c>
      <c r="Y106" s="2"/>
      <c r="Z106">
        <f t="shared" si="18"/>
        <v>4</v>
      </c>
      <c r="AA106" s="11">
        <f t="shared" si="19"/>
        <v>3.75</v>
      </c>
      <c r="AB106" s="11">
        <f t="shared" si="20"/>
        <v>4.75</v>
      </c>
      <c r="AC106" s="10">
        <f t="shared" si="21"/>
        <v>0.59</v>
      </c>
      <c r="AD106" s="10">
        <f t="shared" si="22"/>
        <v>0.37</v>
      </c>
    </row>
    <row r="107" spans="1:30" x14ac:dyDescent="0.25">
      <c r="A107" s="9" t="s">
        <v>217</v>
      </c>
      <c r="B107" s="9" t="s">
        <v>244</v>
      </c>
      <c r="C107" s="9" t="s">
        <v>63</v>
      </c>
      <c r="D107" s="31"/>
      <c r="E107">
        <v>1</v>
      </c>
      <c r="G107">
        <v>1</v>
      </c>
      <c r="H107">
        <v>4</v>
      </c>
      <c r="I107" s="2"/>
      <c r="J107">
        <f t="shared" si="16"/>
        <v>4</v>
      </c>
      <c r="K107" s="31">
        <v>15</v>
      </c>
      <c r="V107" s="32" t="s">
        <v>245</v>
      </c>
      <c r="W107">
        <f t="shared" si="17"/>
        <v>0</v>
      </c>
      <c r="Y107" s="2"/>
      <c r="Z107">
        <f t="shared" si="18"/>
        <v>4</v>
      </c>
      <c r="AA107" s="11">
        <f t="shared" si="19"/>
        <v>3.75</v>
      </c>
      <c r="AB107" s="11">
        <f t="shared" si="20"/>
        <v>4.75</v>
      </c>
      <c r="AC107" s="10">
        <f t="shared" si="21"/>
        <v>0.59</v>
      </c>
      <c r="AD107" s="10">
        <f t="shared" si="22"/>
        <v>0.37</v>
      </c>
    </row>
    <row r="108" spans="1:30" x14ac:dyDescent="0.25">
      <c r="A108" s="9" t="s">
        <v>211</v>
      </c>
      <c r="B108" t="s">
        <v>6</v>
      </c>
      <c r="C108" t="s">
        <v>61</v>
      </c>
      <c r="D108" s="31">
        <v>1</v>
      </c>
      <c r="E108">
        <v>4</v>
      </c>
      <c r="G108">
        <v>1</v>
      </c>
      <c r="I108" s="2"/>
      <c r="J108">
        <f t="shared" si="16"/>
        <v>4.5</v>
      </c>
      <c r="K108" s="31">
        <v>15</v>
      </c>
      <c r="Q108">
        <v>2</v>
      </c>
      <c r="W108">
        <f t="shared" si="17"/>
        <v>0.5</v>
      </c>
      <c r="Y108" s="2"/>
      <c r="Z108">
        <f t="shared" si="18"/>
        <v>4</v>
      </c>
      <c r="AA108" s="11">
        <f t="shared" si="19"/>
        <v>3.75</v>
      </c>
      <c r="AB108" s="11">
        <f t="shared" si="20"/>
        <v>4.75</v>
      </c>
      <c r="AC108" s="10">
        <f t="shared" si="21"/>
        <v>0.59</v>
      </c>
      <c r="AD108" s="10">
        <f t="shared" si="22"/>
        <v>0.37</v>
      </c>
    </row>
    <row r="109" spans="1:30" x14ac:dyDescent="0.25">
      <c r="A109" s="9" t="s">
        <v>217</v>
      </c>
      <c r="B109" s="9" t="s">
        <v>256</v>
      </c>
      <c r="C109" s="9" t="s">
        <v>62</v>
      </c>
      <c r="D109" s="31">
        <v>1</v>
      </c>
      <c r="E109">
        <v>1</v>
      </c>
      <c r="F109">
        <v>5</v>
      </c>
      <c r="G109">
        <v>1</v>
      </c>
      <c r="I109" s="2"/>
      <c r="J109">
        <f t="shared" ref="J109:J140" si="23">0.5+SUMPRODUCT(D109:I109,D$11:I$11)</f>
        <v>5.5</v>
      </c>
      <c r="K109" s="31">
        <v>22</v>
      </c>
      <c r="V109" s="9" t="s">
        <v>234</v>
      </c>
      <c r="W109">
        <f t="shared" ref="W109:W135" si="24">SUMPRODUCT(L109:U109,L$11:U$11)</f>
        <v>0</v>
      </c>
      <c r="Y109" s="2"/>
      <c r="Z109">
        <f t="shared" ref="Z109:Z135" si="25">J109-(W109+X109)</f>
        <v>5.5</v>
      </c>
      <c r="AA109" s="11">
        <f t="shared" ref="AA109:AA140" si="26">IF(Z109&lt;=0,999,(K109+Y109)/(Z109))</f>
        <v>4</v>
      </c>
      <c r="AB109" s="11">
        <f t="shared" ref="AB109:AB135" si="27">IF(Z109&lt;=0,999,(4+K109+Y109)/(Z109))</f>
        <v>4.7272727272727275</v>
      </c>
      <c r="AC109" s="10">
        <f t="shared" ref="AC109:AC135" si="28">IFERROR(_xlfn.PERCENTRANK.INC(AA$13:AA$135,AA109,2),"")</f>
        <v>0.67</v>
      </c>
      <c r="AD109" s="10">
        <f t="shared" ref="AD109:AD135" si="29">IFERROR(_xlfn.PERCENTRANK.INC(AB$13:AB$135,AB109,2),"")</f>
        <v>0.36</v>
      </c>
    </row>
    <row r="110" spans="1:30" x14ac:dyDescent="0.25">
      <c r="A110" s="9" t="s">
        <v>267</v>
      </c>
      <c r="B110" s="9" t="s">
        <v>276</v>
      </c>
      <c r="C110" s="9" t="s">
        <v>60</v>
      </c>
      <c r="D110" s="31">
        <v>1</v>
      </c>
      <c r="E110">
        <v>2</v>
      </c>
      <c r="F110">
        <v>2</v>
      </c>
      <c r="I110" s="2">
        <v>4</v>
      </c>
      <c r="J110">
        <f t="shared" si="23"/>
        <v>4.5</v>
      </c>
      <c r="K110" s="31">
        <v>9</v>
      </c>
      <c r="V110" s="9" t="s">
        <v>277</v>
      </c>
      <c r="W110">
        <f t="shared" si="24"/>
        <v>0</v>
      </c>
      <c r="X110">
        <f>(8-$C$4)/4</f>
        <v>0.75</v>
      </c>
      <c r="Y110" s="2"/>
      <c r="Z110">
        <f t="shared" si="25"/>
        <v>3.75</v>
      </c>
      <c r="AA110" s="11">
        <f t="shared" si="26"/>
        <v>2.4</v>
      </c>
      <c r="AB110" s="11">
        <f t="shared" si="27"/>
        <v>3.4666666666666668</v>
      </c>
      <c r="AC110" s="10">
        <f t="shared" si="28"/>
        <v>0.09</v>
      </c>
      <c r="AD110" s="10">
        <f t="shared" si="29"/>
        <v>0.09</v>
      </c>
    </row>
    <row r="111" spans="1:30" x14ac:dyDescent="0.25">
      <c r="A111" s="9" t="s">
        <v>267</v>
      </c>
      <c r="B111" s="9" t="s">
        <v>282</v>
      </c>
      <c r="C111" s="9" t="s">
        <v>60</v>
      </c>
      <c r="D111" s="31">
        <v>1</v>
      </c>
      <c r="E111">
        <v>1</v>
      </c>
      <c r="F111">
        <v>2</v>
      </c>
      <c r="I111" s="2">
        <v>5</v>
      </c>
      <c r="J111">
        <f t="shared" si="23"/>
        <v>4.25</v>
      </c>
      <c r="K111" s="31">
        <v>16</v>
      </c>
      <c r="W111">
        <f t="shared" si="24"/>
        <v>0</v>
      </c>
      <c r="Y111" s="2"/>
      <c r="Z111">
        <f t="shared" si="25"/>
        <v>4.25</v>
      </c>
      <c r="AA111" s="11">
        <f t="shared" si="26"/>
        <v>3.7647058823529411</v>
      </c>
      <c r="AB111" s="11">
        <f t="shared" si="27"/>
        <v>4.7058823529411766</v>
      </c>
      <c r="AC111" s="10">
        <f t="shared" si="28"/>
        <v>0.62</v>
      </c>
      <c r="AD111" s="10">
        <f t="shared" si="29"/>
        <v>0.36</v>
      </c>
    </row>
    <row r="112" spans="1:30" x14ac:dyDescent="0.25">
      <c r="A112" s="9" t="s">
        <v>211</v>
      </c>
      <c r="B112" t="s">
        <v>19</v>
      </c>
      <c r="C112" t="s">
        <v>63</v>
      </c>
      <c r="D112" s="31">
        <v>2</v>
      </c>
      <c r="E112">
        <v>1</v>
      </c>
      <c r="I112" s="2"/>
      <c r="J112">
        <f t="shared" si="23"/>
        <v>3</v>
      </c>
      <c r="K112" s="31">
        <v>8</v>
      </c>
      <c r="S112">
        <v>0.87039999999999995</v>
      </c>
      <c r="W112">
        <f t="shared" si="24"/>
        <v>0.43519999999999998</v>
      </c>
      <c r="Y112" s="2"/>
      <c r="Z112">
        <f t="shared" si="25"/>
        <v>2.5648</v>
      </c>
      <c r="AA112" s="11">
        <f t="shared" si="26"/>
        <v>3.1191515907673115</v>
      </c>
      <c r="AB112" s="11">
        <f t="shared" si="27"/>
        <v>4.6787273861509666</v>
      </c>
      <c r="AC112" s="10">
        <f t="shared" si="28"/>
        <v>0.27</v>
      </c>
      <c r="AD112" s="10">
        <f t="shared" si="29"/>
        <v>0.35</v>
      </c>
    </row>
    <row r="113" spans="1:30" x14ac:dyDescent="0.25">
      <c r="A113" s="9" t="s">
        <v>267</v>
      </c>
      <c r="B113" s="9" t="s">
        <v>297</v>
      </c>
      <c r="C113" s="9" t="s">
        <v>62</v>
      </c>
      <c r="D113" s="31">
        <v>1</v>
      </c>
      <c r="E113">
        <v>3</v>
      </c>
      <c r="G113">
        <v>2</v>
      </c>
      <c r="I113" s="2"/>
      <c r="J113">
        <f t="shared" si="23"/>
        <v>5</v>
      </c>
      <c r="K113" s="31">
        <v>16</v>
      </c>
      <c r="T113">
        <v>1</v>
      </c>
      <c r="V113" s="9" t="s">
        <v>298</v>
      </c>
      <c r="W113">
        <f t="shared" si="24"/>
        <v>-1</v>
      </c>
      <c r="X113">
        <f>(8-$C$4)/2/2</f>
        <v>0.75</v>
      </c>
      <c r="Y113" s="2"/>
      <c r="Z113">
        <f t="shared" si="25"/>
        <v>5.25</v>
      </c>
      <c r="AA113" s="11">
        <f t="shared" si="26"/>
        <v>3.0476190476190474</v>
      </c>
      <c r="AB113" s="11">
        <f t="shared" si="27"/>
        <v>3.8095238095238093</v>
      </c>
      <c r="AC113" s="10">
        <f t="shared" si="28"/>
        <v>0.26</v>
      </c>
      <c r="AD113" s="10">
        <f t="shared" si="29"/>
        <v>0.13</v>
      </c>
    </row>
    <row r="114" spans="1:30" x14ac:dyDescent="0.25">
      <c r="A114" s="9" t="s">
        <v>267</v>
      </c>
      <c r="B114" s="9" t="s">
        <v>274</v>
      </c>
      <c r="C114" s="9" t="s">
        <v>64</v>
      </c>
      <c r="D114" s="31"/>
      <c r="F114">
        <v>2</v>
      </c>
      <c r="G114">
        <v>3</v>
      </c>
      <c r="I114" s="2"/>
      <c r="J114">
        <f t="shared" si="23"/>
        <v>4.5</v>
      </c>
      <c r="K114" s="31">
        <v>17</v>
      </c>
      <c r="V114" s="9" t="s">
        <v>275</v>
      </c>
      <c r="W114">
        <f t="shared" si="24"/>
        <v>0</v>
      </c>
      <c r="Y114" s="2"/>
      <c r="Z114">
        <f t="shared" si="25"/>
        <v>4.5</v>
      </c>
      <c r="AA114" s="11">
        <f t="shared" si="26"/>
        <v>3.7777777777777777</v>
      </c>
      <c r="AB114" s="11">
        <f t="shared" si="27"/>
        <v>4.666666666666667</v>
      </c>
      <c r="AC114" s="10">
        <f t="shared" si="28"/>
        <v>0.63</v>
      </c>
      <c r="AD114" s="10">
        <f t="shared" si="29"/>
        <v>0.32</v>
      </c>
    </row>
    <row r="115" spans="1:30" x14ac:dyDescent="0.25">
      <c r="A115" s="9" t="s">
        <v>211</v>
      </c>
      <c r="B115" t="s">
        <v>5</v>
      </c>
      <c r="C115" t="s">
        <v>62</v>
      </c>
      <c r="D115" s="31"/>
      <c r="E115">
        <v>1</v>
      </c>
      <c r="F115">
        <v>3</v>
      </c>
      <c r="I115" s="2">
        <v>4</v>
      </c>
      <c r="J115">
        <f t="shared" si="23"/>
        <v>3.5</v>
      </c>
      <c r="K115" s="31">
        <v>10</v>
      </c>
      <c r="R115">
        <v>1</v>
      </c>
      <c r="W115">
        <f t="shared" si="24"/>
        <v>0.5</v>
      </c>
      <c r="Y115" s="2"/>
      <c r="Z115">
        <f t="shared" si="25"/>
        <v>3</v>
      </c>
      <c r="AA115" s="11">
        <f t="shared" si="26"/>
        <v>3.3333333333333335</v>
      </c>
      <c r="AB115" s="11">
        <f t="shared" si="27"/>
        <v>4.666666666666667</v>
      </c>
      <c r="AC115" s="10">
        <f t="shared" si="28"/>
        <v>0.42</v>
      </c>
      <c r="AD115" s="10">
        <f t="shared" si="29"/>
        <v>0.32</v>
      </c>
    </row>
    <row r="116" spans="1:30" x14ac:dyDescent="0.25">
      <c r="A116" s="9" t="s">
        <v>217</v>
      </c>
      <c r="B116" s="9" t="s">
        <v>260</v>
      </c>
      <c r="C116" s="9" t="s">
        <v>61</v>
      </c>
      <c r="D116" s="31">
        <v>1</v>
      </c>
      <c r="E116">
        <v>2</v>
      </c>
      <c r="I116" s="2">
        <v>2</v>
      </c>
      <c r="J116">
        <f t="shared" si="23"/>
        <v>3</v>
      </c>
      <c r="K116" s="31">
        <v>10</v>
      </c>
      <c r="V116" s="9" t="s">
        <v>234</v>
      </c>
      <c r="W116">
        <f t="shared" si="24"/>
        <v>0</v>
      </c>
      <c r="Y116" s="2"/>
      <c r="Z116">
        <f t="shared" si="25"/>
        <v>3</v>
      </c>
      <c r="AA116" s="11">
        <f t="shared" si="26"/>
        <v>3.3333333333333335</v>
      </c>
      <c r="AB116" s="11">
        <f t="shared" si="27"/>
        <v>4.666666666666667</v>
      </c>
      <c r="AC116" s="10">
        <f t="shared" si="28"/>
        <v>0.42</v>
      </c>
      <c r="AD116" s="10">
        <f t="shared" si="29"/>
        <v>0.32</v>
      </c>
    </row>
    <row r="117" spans="1:30" x14ac:dyDescent="0.25">
      <c r="A117" s="9" t="s">
        <v>267</v>
      </c>
      <c r="B117" s="9" t="s">
        <v>268</v>
      </c>
      <c r="C117" s="9" t="s">
        <v>64</v>
      </c>
      <c r="D117" s="31"/>
      <c r="F117">
        <v>2</v>
      </c>
      <c r="G117">
        <v>2</v>
      </c>
      <c r="I117" s="2">
        <v>3</v>
      </c>
      <c r="J117">
        <f t="shared" si="23"/>
        <v>4.25</v>
      </c>
      <c r="K117" s="31">
        <v>18</v>
      </c>
      <c r="M117">
        <v>2</v>
      </c>
      <c r="O117">
        <v>1</v>
      </c>
      <c r="R117">
        <v>1</v>
      </c>
      <c r="T117">
        <v>3</v>
      </c>
      <c r="W117">
        <f t="shared" si="24"/>
        <v>-0.5</v>
      </c>
      <c r="Y117" s="2"/>
      <c r="Z117">
        <f t="shared" si="25"/>
        <v>4.75</v>
      </c>
      <c r="AA117" s="11">
        <f t="shared" si="26"/>
        <v>3.7894736842105261</v>
      </c>
      <c r="AB117" s="11">
        <f t="shared" si="27"/>
        <v>4.6315789473684212</v>
      </c>
      <c r="AC117" s="10">
        <f t="shared" si="28"/>
        <v>0.63</v>
      </c>
      <c r="AD117" s="10">
        <f t="shared" si="29"/>
        <v>0.31</v>
      </c>
    </row>
    <row r="118" spans="1:30" x14ac:dyDescent="0.25">
      <c r="A118" s="9" t="s">
        <v>267</v>
      </c>
      <c r="B118" s="9" t="s">
        <v>291</v>
      </c>
      <c r="C118" s="9" t="s">
        <v>63</v>
      </c>
      <c r="D118" s="31">
        <v>2</v>
      </c>
      <c r="G118">
        <v>1</v>
      </c>
      <c r="I118" s="2">
        <v>5</v>
      </c>
      <c r="J118">
        <f t="shared" si="23"/>
        <v>4.75</v>
      </c>
      <c r="K118" s="31">
        <v>18</v>
      </c>
      <c r="W118">
        <f t="shared" si="24"/>
        <v>0</v>
      </c>
      <c r="Y118" s="2"/>
      <c r="Z118">
        <f t="shared" si="25"/>
        <v>4.75</v>
      </c>
      <c r="AA118" s="11">
        <f t="shared" si="26"/>
        <v>3.7894736842105261</v>
      </c>
      <c r="AB118" s="11">
        <f t="shared" si="27"/>
        <v>4.6315789473684212</v>
      </c>
      <c r="AC118" s="10">
        <f t="shared" si="28"/>
        <v>0.63</v>
      </c>
      <c r="AD118" s="10">
        <f t="shared" si="29"/>
        <v>0.31</v>
      </c>
    </row>
    <row r="119" spans="1:30" x14ac:dyDescent="0.25">
      <c r="A119" s="9" t="s">
        <v>267</v>
      </c>
      <c r="B119" s="9" t="s">
        <v>285</v>
      </c>
      <c r="C119" s="9" t="s">
        <v>63</v>
      </c>
      <c r="D119" s="31"/>
      <c r="H119">
        <v>7</v>
      </c>
      <c r="I119" s="2"/>
      <c r="J119">
        <f t="shared" si="23"/>
        <v>4</v>
      </c>
      <c r="K119" s="31">
        <v>19</v>
      </c>
      <c r="L119">
        <v>3</v>
      </c>
      <c r="T119">
        <v>4</v>
      </c>
      <c r="W119">
        <f t="shared" si="24"/>
        <v>-1</v>
      </c>
      <c r="Y119" s="2"/>
      <c r="Z119">
        <f t="shared" si="25"/>
        <v>5</v>
      </c>
      <c r="AA119" s="11">
        <f t="shared" si="26"/>
        <v>3.8</v>
      </c>
      <c r="AB119" s="11">
        <f t="shared" si="27"/>
        <v>4.5999999999999996</v>
      </c>
      <c r="AC119" s="10">
        <f t="shared" si="28"/>
        <v>0.65</v>
      </c>
      <c r="AD119" s="10">
        <f t="shared" si="29"/>
        <v>0.3</v>
      </c>
    </row>
    <row r="120" spans="1:30" x14ac:dyDescent="0.25">
      <c r="A120" s="9" t="s">
        <v>217</v>
      </c>
      <c r="B120" s="9" t="s">
        <v>255</v>
      </c>
      <c r="C120" s="9" t="s">
        <v>62</v>
      </c>
      <c r="D120" s="31">
        <v>1</v>
      </c>
      <c r="E120">
        <v>1</v>
      </c>
      <c r="F120">
        <v>1</v>
      </c>
      <c r="G120">
        <v>1</v>
      </c>
      <c r="I120" s="2"/>
      <c r="J120">
        <f t="shared" si="23"/>
        <v>3.5</v>
      </c>
      <c r="K120" s="31">
        <v>12</v>
      </c>
      <c r="V120" s="9" t="s">
        <v>234</v>
      </c>
      <c r="W120">
        <f t="shared" si="24"/>
        <v>0</v>
      </c>
      <c r="Y120" s="2"/>
      <c r="Z120">
        <f t="shared" si="25"/>
        <v>3.5</v>
      </c>
      <c r="AA120" s="11">
        <f t="shared" si="26"/>
        <v>3.4285714285714284</v>
      </c>
      <c r="AB120" s="11">
        <f t="shared" si="27"/>
        <v>4.5714285714285712</v>
      </c>
      <c r="AC120" s="10">
        <f t="shared" si="28"/>
        <v>0.45</v>
      </c>
      <c r="AD120" s="10">
        <f t="shared" si="29"/>
        <v>0.28999999999999998</v>
      </c>
    </row>
    <row r="121" spans="1:30" x14ac:dyDescent="0.25">
      <c r="A121" s="9" t="s">
        <v>211</v>
      </c>
      <c r="B121" t="s">
        <v>56</v>
      </c>
      <c r="C121" t="s">
        <v>63</v>
      </c>
      <c r="D121" s="31">
        <v>2</v>
      </c>
      <c r="E121">
        <v>1</v>
      </c>
      <c r="F121">
        <v>1</v>
      </c>
      <c r="I121" s="2"/>
      <c r="J121">
        <f t="shared" si="23"/>
        <v>3.5</v>
      </c>
      <c r="K121" s="31">
        <v>10</v>
      </c>
      <c r="S121">
        <v>0.87039999999999995</v>
      </c>
      <c r="W121">
        <f t="shared" si="24"/>
        <v>0.43519999999999998</v>
      </c>
      <c r="Y121" s="2"/>
      <c r="Z121">
        <f t="shared" si="25"/>
        <v>3.0648</v>
      </c>
      <c r="AA121" s="11">
        <f t="shared" si="26"/>
        <v>3.2628556512659879</v>
      </c>
      <c r="AB121" s="11">
        <f t="shared" si="27"/>
        <v>4.567997911772383</v>
      </c>
      <c r="AC121" s="10">
        <f t="shared" si="28"/>
        <v>0.4</v>
      </c>
      <c r="AD121" s="10">
        <f t="shared" si="29"/>
        <v>0.27</v>
      </c>
    </row>
    <row r="122" spans="1:30" x14ac:dyDescent="0.25">
      <c r="A122" s="9" t="s">
        <v>211</v>
      </c>
      <c r="B122" t="s">
        <v>50</v>
      </c>
      <c r="C122" t="s">
        <v>63</v>
      </c>
      <c r="D122" s="31">
        <v>2</v>
      </c>
      <c r="G122">
        <v>1</v>
      </c>
      <c r="I122" s="2"/>
      <c r="J122">
        <f t="shared" si="23"/>
        <v>3.5</v>
      </c>
      <c r="K122" s="31">
        <v>10</v>
      </c>
      <c r="S122">
        <v>0.87039999999999995</v>
      </c>
      <c r="W122">
        <f t="shared" si="24"/>
        <v>0.43519999999999998</v>
      </c>
      <c r="Y122" s="2"/>
      <c r="Z122">
        <f t="shared" si="25"/>
        <v>3.0648</v>
      </c>
      <c r="AA122" s="11">
        <f t="shared" si="26"/>
        <v>3.2628556512659879</v>
      </c>
      <c r="AB122" s="11">
        <f t="shared" si="27"/>
        <v>4.567997911772383</v>
      </c>
      <c r="AC122" s="10">
        <f t="shared" si="28"/>
        <v>0.4</v>
      </c>
      <c r="AD122" s="10">
        <f t="shared" si="29"/>
        <v>0.27</v>
      </c>
    </row>
    <row r="123" spans="1:30" x14ac:dyDescent="0.25">
      <c r="A123" s="9" t="s">
        <v>267</v>
      </c>
      <c r="B123" s="9" t="s">
        <v>300</v>
      </c>
      <c r="C123" s="9" t="s">
        <v>61</v>
      </c>
      <c r="D123" s="31"/>
      <c r="E123">
        <v>4</v>
      </c>
      <c r="F123">
        <v>1</v>
      </c>
      <c r="I123" s="2"/>
      <c r="J123">
        <f t="shared" si="23"/>
        <v>3</v>
      </c>
      <c r="K123" s="31">
        <v>16</v>
      </c>
      <c r="T123">
        <v>2</v>
      </c>
      <c r="U123">
        <v>0.5</v>
      </c>
      <c r="V123" s="9" t="s">
        <v>301</v>
      </c>
      <c r="W123">
        <f t="shared" si="24"/>
        <v>-1.5</v>
      </c>
      <c r="Y123" s="2"/>
      <c r="Z123">
        <f t="shared" si="25"/>
        <v>4.5</v>
      </c>
      <c r="AA123" s="11">
        <f t="shared" si="26"/>
        <v>3.5555555555555554</v>
      </c>
      <c r="AB123" s="11">
        <f t="shared" si="27"/>
        <v>4.4444444444444446</v>
      </c>
      <c r="AC123" s="10">
        <f t="shared" si="28"/>
        <v>0.5</v>
      </c>
      <c r="AD123" s="10">
        <f t="shared" si="29"/>
        <v>0.26</v>
      </c>
    </row>
    <row r="124" spans="1:30" x14ac:dyDescent="0.25">
      <c r="A124" s="9" t="s">
        <v>211</v>
      </c>
      <c r="B124" t="s">
        <v>10</v>
      </c>
      <c r="C124" t="s">
        <v>64</v>
      </c>
      <c r="D124" s="31">
        <v>1</v>
      </c>
      <c r="G124">
        <v>2</v>
      </c>
      <c r="I124" s="2"/>
      <c r="J124">
        <f t="shared" si="23"/>
        <v>3.5</v>
      </c>
      <c r="K124" s="31">
        <v>8</v>
      </c>
      <c r="V124" t="s">
        <v>94</v>
      </c>
      <c r="W124">
        <f t="shared" si="24"/>
        <v>0</v>
      </c>
      <c r="Y124" s="2">
        <f>(8-$C$4)/2</f>
        <v>1.5</v>
      </c>
      <c r="Z124">
        <f t="shared" si="25"/>
        <v>3.5</v>
      </c>
      <c r="AA124" s="11">
        <f t="shared" si="26"/>
        <v>2.7142857142857144</v>
      </c>
      <c r="AB124" s="11">
        <f t="shared" si="27"/>
        <v>3.8571428571428572</v>
      </c>
      <c r="AC124" s="10">
        <f t="shared" si="28"/>
        <v>0.2</v>
      </c>
      <c r="AD124" s="10">
        <f t="shared" si="29"/>
        <v>0.14000000000000001</v>
      </c>
    </row>
    <row r="125" spans="1:30" x14ac:dyDescent="0.25">
      <c r="A125" s="9" t="s">
        <v>267</v>
      </c>
      <c r="B125" s="9" t="s">
        <v>292</v>
      </c>
      <c r="C125" s="9" t="s">
        <v>62</v>
      </c>
      <c r="D125" s="31"/>
      <c r="E125">
        <v>2</v>
      </c>
      <c r="F125">
        <v>3</v>
      </c>
      <c r="I125" s="2">
        <v>2</v>
      </c>
      <c r="J125">
        <f t="shared" si="23"/>
        <v>3.5</v>
      </c>
      <c r="K125" s="31">
        <v>20</v>
      </c>
      <c r="T125">
        <v>2</v>
      </c>
      <c r="W125">
        <f t="shared" si="24"/>
        <v>-2</v>
      </c>
      <c r="Y125" s="2"/>
      <c r="Z125">
        <f t="shared" si="25"/>
        <v>5.5</v>
      </c>
      <c r="AA125" s="11">
        <f t="shared" si="26"/>
        <v>3.6363636363636362</v>
      </c>
      <c r="AB125" s="11">
        <f t="shared" si="27"/>
        <v>4.3636363636363633</v>
      </c>
      <c r="AC125" s="10">
        <f t="shared" si="28"/>
        <v>0.54</v>
      </c>
      <c r="AD125" s="10">
        <f t="shared" si="29"/>
        <v>0.23</v>
      </c>
    </row>
    <row r="126" spans="1:30" x14ac:dyDescent="0.25">
      <c r="A126" s="9" t="s">
        <v>267</v>
      </c>
      <c r="B126" s="9" t="s">
        <v>299</v>
      </c>
      <c r="C126" s="9" t="s">
        <v>62</v>
      </c>
      <c r="D126" s="31">
        <v>1</v>
      </c>
      <c r="E126">
        <v>2</v>
      </c>
      <c r="F126">
        <v>3</v>
      </c>
      <c r="I126" s="2">
        <v>5</v>
      </c>
      <c r="J126">
        <f t="shared" si="23"/>
        <v>5.25</v>
      </c>
      <c r="K126" s="31">
        <v>13</v>
      </c>
      <c r="T126">
        <v>3</v>
      </c>
      <c r="V126" s="9" t="s">
        <v>320</v>
      </c>
      <c r="W126">
        <f t="shared" si="24"/>
        <v>-3</v>
      </c>
      <c r="Y126" s="2">
        <f>($C$4-1)*2/2+(8-$C$4)*$C$5*2</f>
        <v>12</v>
      </c>
      <c r="Z126">
        <f t="shared" si="25"/>
        <v>8.25</v>
      </c>
      <c r="AA126" s="11">
        <f t="shared" si="26"/>
        <v>3.0303030303030303</v>
      </c>
      <c r="AB126" s="11">
        <f t="shared" si="27"/>
        <v>3.5151515151515151</v>
      </c>
      <c r="AC126" s="10">
        <f t="shared" si="28"/>
        <v>0.25</v>
      </c>
      <c r="AD126" s="10">
        <f t="shared" si="29"/>
        <v>0.1</v>
      </c>
    </row>
    <row r="127" spans="1:30" x14ac:dyDescent="0.25">
      <c r="A127" s="9" t="s">
        <v>211</v>
      </c>
      <c r="B127" t="s">
        <v>57</v>
      </c>
      <c r="C127" t="s">
        <v>60</v>
      </c>
      <c r="D127" s="31">
        <v>1</v>
      </c>
      <c r="E127">
        <v>1</v>
      </c>
      <c r="F127">
        <v>1</v>
      </c>
      <c r="I127" s="2">
        <v>4</v>
      </c>
      <c r="J127">
        <f t="shared" si="23"/>
        <v>3.5</v>
      </c>
      <c r="K127" s="31">
        <v>15</v>
      </c>
      <c r="U127">
        <v>-1</v>
      </c>
      <c r="V127" t="s">
        <v>93</v>
      </c>
      <c r="W127">
        <f t="shared" si="24"/>
        <v>-1</v>
      </c>
      <c r="Y127" s="2"/>
      <c r="Z127">
        <f t="shared" si="25"/>
        <v>4.5</v>
      </c>
      <c r="AA127" s="11">
        <f t="shared" si="26"/>
        <v>3.3333333333333335</v>
      </c>
      <c r="AB127" s="11">
        <f t="shared" si="27"/>
        <v>4.2222222222222223</v>
      </c>
      <c r="AC127" s="10">
        <f t="shared" si="28"/>
        <v>0.42</v>
      </c>
      <c r="AD127" s="10">
        <f t="shared" si="29"/>
        <v>0.2</v>
      </c>
    </row>
    <row r="128" spans="1:30" x14ac:dyDescent="0.25">
      <c r="A128" s="9" t="s">
        <v>211</v>
      </c>
      <c r="B128" t="s">
        <v>8</v>
      </c>
      <c r="C128" t="s">
        <v>60</v>
      </c>
      <c r="D128" s="31">
        <v>1</v>
      </c>
      <c r="F128">
        <v>3</v>
      </c>
      <c r="I128" s="2">
        <v>2</v>
      </c>
      <c r="J128">
        <f t="shared" si="23"/>
        <v>3.5</v>
      </c>
      <c r="K128" s="31">
        <v>7</v>
      </c>
      <c r="R128">
        <v>1</v>
      </c>
      <c r="S128">
        <v>0.4</v>
      </c>
      <c r="W128">
        <f t="shared" si="24"/>
        <v>0.7</v>
      </c>
      <c r="Y128" s="2"/>
      <c r="Z128">
        <f t="shared" si="25"/>
        <v>2.8</v>
      </c>
      <c r="AA128" s="11">
        <f t="shared" si="26"/>
        <v>2.5</v>
      </c>
      <c r="AB128" s="11">
        <f t="shared" si="27"/>
        <v>3.9285714285714288</v>
      </c>
      <c r="AC128" s="10">
        <f t="shared" si="28"/>
        <v>0.13</v>
      </c>
      <c r="AD128" s="10">
        <f t="shared" si="29"/>
        <v>0.15</v>
      </c>
    </row>
    <row r="129" spans="1:30" x14ac:dyDescent="0.25">
      <c r="A129" s="9" t="s">
        <v>267</v>
      </c>
      <c r="B129" s="9" t="s">
        <v>283</v>
      </c>
      <c r="C129" s="9" t="s">
        <v>60</v>
      </c>
      <c r="D129" s="31">
        <v>1</v>
      </c>
      <c r="F129">
        <v>3</v>
      </c>
      <c r="I129" s="2">
        <v>4</v>
      </c>
      <c r="J129">
        <f t="shared" si="23"/>
        <v>4</v>
      </c>
      <c r="K129" s="31">
        <v>4</v>
      </c>
      <c r="T129">
        <v>-2</v>
      </c>
      <c r="W129">
        <f t="shared" si="24"/>
        <v>2</v>
      </c>
      <c r="Y129" s="2"/>
      <c r="Z129">
        <f t="shared" si="25"/>
        <v>2</v>
      </c>
      <c r="AA129" s="11">
        <f t="shared" si="26"/>
        <v>2</v>
      </c>
      <c r="AB129" s="11">
        <f t="shared" si="27"/>
        <v>4</v>
      </c>
      <c r="AC129" s="10">
        <f t="shared" si="28"/>
        <v>0.03</v>
      </c>
      <c r="AD129" s="10">
        <f t="shared" si="29"/>
        <v>0.16</v>
      </c>
    </row>
    <row r="130" spans="1:30" x14ac:dyDescent="0.25">
      <c r="A130" s="9" t="s">
        <v>211</v>
      </c>
      <c r="B130" t="s">
        <v>76</v>
      </c>
      <c r="C130" t="s">
        <v>62</v>
      </c>
      <c r="D130" s="31"/>
      <c r="E130">
        <v>2</v>
      </c>
      <c r="F130">
        <v>3</v>
      </c>
      <c r="I130" s="2">
        <v>2</v>
      </c>
      <c r="J130">
        <f t="shared" si="23"/>
        <v>3.5</v>
      </c>
      <c r="K130" s="31">
        <v>8</v>
      </c>
      <c r="V130" t="s">
        <v>75</v>
      </c>
      <c r="W130">
        <f t="shared" si="24"/>
        <v>0</v>
      </c>
      <c r="Y130" s="2">
        <f>2</f>
        <v>2</v>
      </c>
      <c r="Z130">
        <f t="shared" si="25"/>
        <v>3.5</v>
      </c>
      <c r="AA130" s="11">
        <f t="shared" si="26"/>
        <v>2.8571428571428572</v>
      </c>
      <c r="AB130" s="11">
        <f t="shared" si="27"/>
        <v>4</v>
      </c>
      <c r="AC130" s="10">
        <f t="shared" si="28"/>
        <v>0.22</v>
      </c>
      <c r="AD130" s="10">
        <f t="shared" si="29"/>
        <v>0.16</v>
      </c>
    </row>
    <row r="131" spans="1:30" x14ac:dyDescent="0.25">
      <c r="A131" s="9" t="s">
        <v>217</v>
      </c>
      <c r="B131" s="9" t="s">
        <v>219</v>
      </c>
      <c r="C131" s="9" t="s">
        <v>64</v>
      </c>
      <c r="D131" s="31">
        <v>1</v>
      </c>
      <c r="E131">
        <v>1</v>
      </c>
      <c r="F131">
        <v>3</v>
      </c>
      <c r="G131">
        <v>3</v>
      </c>
      <c r="I131" s="2"/>
      <c r="J131">
        <f t="shared" si="23"/>
        <v>6.5</v>
      </c>
      <c r="K131" s="31">
        <v>12</v>
      </c>
      <c r="V131" s="9" t="s">
        <v>225</v>
      </c>
      <c r="W131">
        <f t="shared" si="24"/>
        <v>0</v>
      </c>
      <c r="X131">
        <f>(8-$C$4)/3</f>
        <v>1</v>
      </c>
      <c r="Y131" s="2"/>
      <c r="Z131">
        <f t="shared" si="25"/>
        <v>5.5</v>
      </c>
      <c r="AA131" s="11">
        <f t="shared" si="26"/>
        <v>2.1818181818181817</v>
      </c>
      <c r="AB131" s="11">
        <f t="shared" si="27"/>
        <v>2.9090909090909092</v>
      </c>
      <c r="AC131" s="10">
        <f t="shared" si="28"/>
        <v>7.0000000000000007E-2</v>
      </c>
      <c r="AD131" s="10">
        <f t="shared" si="29"/>
        <v>0.03</v>
      </c>
    </row>
    <row r="132" spans="1:30" x14ac:dyDescent="0.25">
      <c r="A132" s="9" t="s">
        <v>267</v>
      </c>
      <c r="B132" s="9" t="s">
        <v>289</v>
      </c>
      <c r="C132" s="9" t="s">
        <v>63</v>
      </c>
      <c r="D132" s="31">
        <v>3</v>
      </c>
      <c r="E132">
        <v>2</v>
      </c>
      <c r="G132">
        <v>1</v>
      </c>
      <c r="I132" s="2"/>
      <c r="J132">
        <f t="shared" si="23"/>
        <v>5.5</v>
      </c>
      <c r="K132" s="31">
        <v>10</v>
      </c>
      <c r="V132" s="9" t="s">
        <v>290</v>
      </c>
      <c r="W132">
        <f t="shared" si="24"/>
        <v>0</v>
      </c>
      <c r="X132">
        <f>(8-$C$4)/4</f>
        <v>0.75</v>
      </c>
      <c r="Y132" s="2"/>
      <c r="Z132">
        <f t="shared" si="25"/>
        <v>4.75</v>
      </c>
      <c r="AA132" s="11">
        <f t="shared" si="26"/>
        <v>2.1052631578947367</v>
      </c>
      <c r="AB132" s="11">
        <f t="shared" si="27"/>
        <v>2.9473684210526314</v>
      </c>
      <c r="AC132" s="10">
        <f t="shared" si="28"/>
        <v>0.04</v>
      </c>
      <c r="AD132" s="10">
        <f t="shared" si="29"/>
        <v>0.04</v>
      </c>
    </row>
    <row r="133" spans="1:30" x14ac:dyDescent="0.25">
      <c r="A133" s="9" t="s">
        <v>217</v>
      </c>
      <c r="B133" s="9" t="s">
        <v>252</v>
      </c>
      <c r="C133" s="9" t="s">
        <v>62</v>
      </c>
      <c r="D133" s="31"/>
      <c r="E133">
        <v>1</v>
      </c>
      <c r="F133">
        <v>4</v>
      </c>
      <c r="G133">
        <v>1</v>
      </c>
      <c r="I133" s="2">
        <v>5</v>
      </c>
      <c r="J133">
        <f t="shared" si="23"/>
        <v>5.25</v>
      </c>
      <c r="K133" s="31">
        <v>9</v>
      </c>
      <c r="V133" s="9" t="s">
        <v>253</v>
      </c>
      <c r="W133">
        <f t="shared" si="24"/>
        <v>0</v>
      </c>
      <c r="X133">
        <f>(8-$C$4)/4</f>
        <v>0.75</v>
      </c>
      <c r="Y133" s="2"/>
      <c r="Z133">
        <f t="shared" si="25"/>
        <v>4.5</v>
      </c>
      <c r="AA133" s="11">
        <f t="shared" si="26"/>
        <v>2</v>
      </c>
      <c r="AB133" s="11">
        <f t="shared" si="27"/>
        <v>2.8888888888888888</v>
      </c>
      <c r="AC133" s="10">
        <f t="shared" si="28"/>
        <v>0.03</v>
      </c>
      <c r="AD133" s="10">
        <f t="shared" si="29"/>
        <v>0.02</v>
      </c>
    </row>
    <row r="134" spans="1:30" x14ac:dyDescent="0.25">
      <c r="A134" s="9" t="s">
        <v>211</v>
      </c>
      <c r="B134" t="s">
        <v>33</v>
      </c>
      <c r="C134" t="s">
        <v>62</v>
      </c>
      <c r="D134" s="31"/>
      <c r="F134">
        <v>4</v>
      </c>
      <c r="I134" s="2">
        <v>4</v>
      </c>
      <c r="J134">
        <f t="shared" si="23"/>
        <v>3.5</v>
      </c>
      <c r="K134" s="31">
        <v>8</v>
      </c>
      <c r="V134" t="s">
        <v>81</v>
      </c>
      <c r="W134">
        <f t="shared" si="24"/>
        <v>0</v>
      </c>
      <c r="Y134" s="2"/>
      <c r="Z134">
        <f t="shared" si="25"/>
        <v>3.5</v>
      </c>
      <c r="AA134" s="11">
        <f t="shared" si="26"/>
        <v>2.2857142857142856</v>
      </c>
      <c r="AB134" s="11">
        <f t="shared" si="27"/>
        <v>3.4285714285714284</v>
      </c>
      <c r="AC134" s="10">
        <f t="shared" si="28"/>
        <v>0.09</v>
      </c>
      <c r="AD134" s="10">
        <f t="shared" si="29"/>
        <v>0.09</v>
      </c>
    </row>
    <row r="135" spans="1:30" x14ac:dyDescent="0.25">
      <c r="A135" s="9" t="s">
        <v>211</v>
      </c>
      <c r="B135" t="s">
        <v>15</v>
      </c>
      <c r="C135" t="s">
        <v>64</v>
      </c>
      <c r="D135" s="31"/>
      <c r="F135">
        <v>3</v>
      </c>
      <c r="G135">
        <v>2</v>
      </c>
      <c r="I135" s="2"/>
      <c r="J135">
        <f t="shared" si="23"/>
        <v>4</v>
      </c>
      <c r="K135" s="31">
        <v>6</v>
      </c>
      <c r="V135" t="s">
        <v>90</v>
      </c>
      <c r="W135">
        <f t="shared" si="24"/>
        <v>0</v>
      </c>
      <c r="Y135" s="2"/>
      <c r="Z135">
        <f t="shared" si="25"/>
        <v>4</v>
      </c>
      <c r="AA135" s="11">
        <f t="shared" si="26"/>
        <v>1.5</v>
      </c>
      <c r="AB135" s="11">
        <f t="shared" si="27"/>
        <v>2.5</v>
      </c>
      <c r="AC135" s="10">
        <f t="shared" si="28"/>
        <v>0.01</v>
      </c>
      <c r="AD135" s="10">
        <f t="shared" si="29"/>
        <v>0</v>
      </c>
    </row>
  </sheetData>
  <autoFilter ref="A12:AD72" xr:uid="{00000000-0009-0000-0000-000000000000}">
    <sortState xmlns:xlrd2="http://schemas.microsoft.com/office/spreadsheetml/2017/richdata2" ref="A13:AD135">
      <sortCondition descending="1" ref="AD12:AD72"/>
    </sortState>
  </autoFilter>
  <mergeCells count="6">
    <mergeCell ref="Z9:AB9"/>
    <mergeCell ref="K10:Y10"/>
    <mergeCell ref="AC2:AD2"/>
    <mergeCell ref="AA2:AB2"/>
    <mergeCell ref="B3:C3"/>
    <mergeCell ref="D10:I10"/>
  </mergeCells>
  <phoneticPr fontId="3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D41" sqref="D41"/>
    </sheetView>
  </sheetViews>
  <sheetFormatPr defaultRowHeight="13.2" x14ac:dyDescent="0.25"/>
  <cols>
    <col min="1" max="1" width="21.6640625" bestFit="1" customWidth="1"/>
    <col min="2" max="2" width="4" customWidth="1"/>
    <col min="3" max="3" width="15.109375" bestFit="1" customWidth="1"/>
  </cols>
  <sheetData>
    <row r="1" spans="1:13" x14ac:dyDescent="0.25">
      <c r="A1" s="3" t="s">
        <v>95</v>
      </c>
      <c r="B1" s="3" t="s">
        <v>98</v>
      </c>
      <c r="C1" s="3" t="s">
        <v>96</v>
      </c>
      <c r="D1" s="3" t="s">
        <v>0</v>
      </c>
      <c r="E1" s="3" t="s">
        <v>97</v>
      </c>
      <c r="F1" s="3"/>
      <c r="G1" s="3"/>
      <c r="H1" s="4"/>
      <c r="I1" s="4"/>
      <c r="J1" s="4"/>
      <c r="K1" s="4"/>
      <c r="L1" s="4"/>
      <c r="M1" s="4"/>
    </row>
    <row r="2" spans="1:13" x14ac:dyDescent="0.25">
      <c r="A2" t="s">
        <v>104</v>
      </c>
      <c r="B2">
        <v>1</v>
      </c>
      <c r="C2" t="s">
        <v>161</v>
      </c>
      <c r="D2" s="5" t="s">
        <v>135</v>
      </c>
      <c r="E2" t="s">
        <v>170</v>
      </c>
    </row>
    <row r="3" spans="1:13" s="6" customFormat="1" x14ac:dyDescent="0.25">
      <c r="A3" s="6" t="s">
        <v>120</v>
      </c>
      <c r="B3" s="6">
        <v>2</v>
      </c>
      <c r="C3" s="6" t="s">
        <v>162</v>
      </c>
      <c r="D3" s="7" t="s">
        <v>149</v>
      </c>
      <c r="E3" s="6" t="s">
        <v>174</v>
      </c>
    </row>
    <row r="4" spans="1:13" x14ac:dyDescent="0.25">
      <c r="A4" t="s">
        <v>153</v>
      </c>
      <c r="B4">
        <v>2</v>
      </c>
      <c r="C4" t="s">
        <v>162</v>
      </c>
      <c r="D4" s="5" t="s">
        <v>152</v>
      </c>
      <c r="E4" t="s">
        <v>186</v>
      </c>
    </row>
    <row r="5" spans="1:13" s="6" customFormat="1" x14ac:dyDescent="0.25">
      <c r="A5" s="6" t="s">
        <v>122</v>
      </c>
      <c r="B5" s="6">
        <v>2</v>
      </c>
      <c r="C5" s="6" t="s">
        <v>162</v>
      </c>
      <c r="D5" s="7" t="s">
        <v>151</v>
      </c>
      <c r="E5" s="6" t="s">
        <v>187</v>
      </c>
    </row>
    <row r="6" spans="1:13" x14ac:dyDescent="0.25">
      <c r="A6" t="s">
        <v>105</v>
      </c>
      <c r="B6">
        <v>3</v>
      </c>
      <c r="C6" t="s">
        <v>161</v>
      </c>
      <c r="D6" s="5" t="s">
        <v>156</v>
      </c>
      <c r="E6" t="s">
        <v>185</v>
      </c>
    </row>
    <row r="7" spans="1:13" s="6" customFormat="1" x14ac:dyDescent="0.25">
      <c r="A7" s="6" t="s">
        <v>114</v>
      </c>
      <c r="B7" s="6">
        <v>2</v>
      </c>
      <c r="C7" s="6" t="s">
        <v>162</v>
      </c>
      <c r="D7" s="7" t="s">
        <v>134</v>
      </c>
      <c r="E7" s="6" t="s">
        <v>168</v>
      </c>
    </row>
    <row r="8" spans="1:13" x14ac:dyDescent="0.25">
      <c r="A8" t="s">
        <v>119</v>
      </c>
      <c r="B8">
        <v>2</v>
      </c>
      <c r="C8" t="s">
        <v>161</v>
      </c>
      <c r="D8" s="5" t="s">
        <v>130</v>
      </c>
      <c r="E8" t="s">
        <v>166</v>
      </c>
    </row>
    <row r="9" spans="1:13" s="6" customFormat="1" x14ac:dyDescent="0.25">
      <c r="A9" s="6" t="s">
        <v>99</v>
      </c>
      <c r="B9" s="6">
        <v>2</v>
      </c>
      <c r="C9" s="6" t="s">
        <v>161</v>
      </c>
      <c r="D9" s="7" t="s">
        <v>132</v>
      </c>
      <c r="E9" s="6" t="s">
        <v>164</v>
      </c>
    </row>
    <row r="10" spans="1:13" x14ac:dyDescent="0.25">
      <c r="A10" t="s">
        <v>117</v>
      </c>
      <c r="B10">
        <v>1</v>
      </c>
      <c r="C10" t="s">
        <v>161</v>
      </c>
      <c r="D10" s="5" t="s">
        <v>154</v>
      </c>
      <c r="E10" t="s">
        <v>183</v>
      </c>
    </row>
    <row r="11" spans="1:13" s="6" customFormat="1" x14ac:dyDescent="0.25">
      <c r="A11" s="6" t="s">
        <v>106</v>
      </c>
      <c r="B11" s="6">
        <v>2</v>
      </c>
      <c r="C11" s="6" t="s">
        <v>161</v>
      </c>
      <c r="D11" s="7" t="s">
        <v>140</v>
      </c>
      <c r="E11" s="6" t="s">
        <v>175</v>
      </c>
    </row>
    <row r="12" spans="1:13" x14ac:dyDescent="0.25">
      <c r="A12" t="s">
        <v>109</v>
      </c>
      <c r="B12">
        <v>2</v>
      </c>
      <c r="C12" t="s">
        <v>161</v>
      </c>
      <c r="D12" s="5" t="s">
        <v>142</v>
      </c>
      <c r="E12" t="s">
        <v>176</v>
      </c>
    </row>
    <row r="13" spans="1:13" s="6" customFormat="1" x14ac:dyDescent="0.25">
      <c r="A13" s="6" t="s">
        <v>124</v>
      </c>
      <c r="B13" s="6">
        <v>1</v>
      </c>
      <c r="C13" s="6" t="s">
        <v>163</v>
      </c>
      <c r="D13" s="7" t="s">
        <v>147</v>
      </c>
      <c r="E13" s="6" t="s">
        <v>192</v>
      </c>
    </row>
    <row r="14" spans="1:13" x14ac:dyDescent="0.25">
      <c r="A14" t="s">
        <v>128</v>
      </c>
      <c r="B14">
        <v>1</v>
      </c>
      <c r="C14" t="s">
        <v>163</v>
      </c>
      <c r="D14" s="5" t="s">
        <v>160</v>
      </c>
      <c r="E14" t="s">
        <v>193</v>
      </c>
    </row>
    <row r="15" spans="1:13" s="6" customFormat="1" x14ac:dyDescent="0.25">
      <c r="A15" s="6" t="s">
        <v>116</v>
      </c>
      <c r="B15" s="6">
        <v>2</v>
      </c>
      <c r="C15" s="6" t="s">
        <v>162</v>
      </c>
      <c r="D15" s="7" t="s">
        <v>148</v>
      </c>
      <c r="E15" s="6" t="s">
        <v>173</v>
      </c>
    </row>
    <row r="16" spans="1:13" x14ac:dyDescent="0.25">
      <c r="A16" t="s">
        <v>111</v>
      </c>
      <c r="B16">
        <v>2</v>
      </c>
      <c r="C16" t="s">
        <v>161</v>
      </c>
      <c r="D16" s="5" t="s">
        <v>145</v>
      </c>
      <c r="E16" t="s">
        <v>177</v>
      </c>
    </row>
    <row r="17" spans="1:5" s="6" customFormat="1" x14ac:dyDescent="0.25">
      <c r="A17" s="6" t="s">
        <v>108</v>
      </c>
      <c r="B17" s="6">
        <v>2</v>
      </c>
      <c r="C17" s="6" t="s">
        <v>161</v>
      </c>
      <c r="D17" s="7" t="s">
        <v>143</v>
      </c>
      <c r="E17" s="6" t="s">
        <v>178</v>
      </c>
    </row>
    <row r="18" spans="1:5" x14ac:dyDescent="0.25">
      <c r="A18" t="s">
        <v>121</v>
      </c>
      <c r="B18">
        <v>2</v>
      </c>
      <c r="C18" t="s">
        <v>162</v>
      </c>
      <c r="D18" s="5" t="s">
        <v>150</v>
      </c>
      <c r="E18" t="s">
        <v>188</v>
      </c>
    </row>
    <row r="19" spans="1:5" s="6" customFormat="1" x14ac:dyDescent="0.25">
      <c r="A19" s="6" t="s">
        <v>126</v>
      </c>
      <c r="B19" s="6">
        <v>1</v>
      </c>
      <c r="C19" s="6" t="s">
        <v>163</v>
      </c>
      <c r="D19" s="7" t="s">
        <v>158</v>
      </c>
      <c r="E19" s="6" t="s">
        <v>194</v>
      </c>
    </row>
    <row r="20" spans="1:5" x14ac:dyDescent="0.25">
      <c r="A20" t="s">
        <v>125</v>
      </c>
      <c r="B20">
        <v>1</v>
      </c>
      <c r="C20" t="s">
        <v>163</v>
      </c>
      <c r="D20" s="5" t="s">
        <v>157</v>
      </c>
      <c r="E20" t="s">
        <v>191</v>
      </c>
    </row>
    <row r="21" spans="1:5" s="6" customFormat="1" x14ac:dyDescent="0.25">
      <c r="A21" s="6" t="s">
        <v>101</v>
      </c>
      <c r="B21" s="6">
        <v>1</v>
      </c>
      <c r="C21" s="6" t="s">
        <v>161</v>
      </c>
      <c r="D21" s="7" t="s">
        <v>137</v>
      </c>
      <c r="E21" s="6" t="s">
        <v>172</v>
      </c>
    </row>
    <row r="22" spans="1:5" x14ac:dyDescent="0.25">
      <c r="A22" t="s">
        <v>103</v>
      </c>
      <c r="B22">
        <v>2</v>
      </c>
      <c r="C22" t="s">
        <v>161</v>
      </c>
      <c r="D22" s="5" t="s">
        <v>133</v>
      </c>
      <c r="E22" t="s">
        <v>169</v>
      </c>
    </row>
    <row r="23" spans="1:5" s="6" customFormat="1" x14ac:dyDescent="0.25">
      <c r="A23" s="6" t="s">
        <v>107</v>
      </c>
      <c r="B23" s="6">
        <v>1</v>
      </c>
      <c r="C23" s="6" t="s">
        <v>161</v>
      </c>
      <c r="D23" s="7" t="s">
        <v>141</v>
      </c>
      <c r="E23" s="6" t="s">
        <v>179</v>
      </c>
    </row>
    <row r="24" spans="1:5" x14ac:dyDescent="0.25">
      <c r="A24" t="s">
        <v>127</v>
      </c>
      <c r="B24">
        <v>1</v>
      </c>
      <c r="C24" t="s">
        <v>163</v>
      </c>
      <c r="D24" s="5" t="s">
        <v>159</v>
      </c>
      <c r="E24" t="s">
        <v>190</v>
      </c>
    </row>
    <row r="25" spans="1:5" s="6" customFormat="1" x14ac:dyDescent="0.25">
      <c r="A25" s="6" t="s">
        <v>110</v>
      </c>
      <c r="B25" s="6">
        <v>1</v>
      </c>
      <c r="C25" s="6" t="s">
        <v>161</v>
      </c>
      <c r="D25" s="7" t="s">
        <v>144</v>
      </c>
      <c r="E25" s="6" t="s">
        <v>180</v>
      </c>
    </row>
    <row r="26" spans="1:5" x14ac:dyDescent="0.25">
      <c r="A26" t="s">
        <v>113</v>
      </c>
      <c r="B26">
        <v>1</v>
      </c>
      <c r="C26" t="s">
        <v>161</v>
      </c>
      <c r="D26" s="5" t="s">
        <v>139</v>
      </c>
      <c r="E26" t="s">
        <v>182</v>
      </c>
    </row>
    <row r="27" spans="1:5" s="6" customFormat="1" x14ac:dyDescent="0.25">
      <c r="A27" s="6" t="s">
        <v>100</v>
      </c>
      <c r="B27" s="6">
        <v>2</v>
      </c>
      <c r="C27" s="6" t="s">
        <v>161</v>
      </c>
      <c r="D27" s="7" t="s">
        <v>136</v>
      </c>
      <c r="E27" s="6" t="s">
        <v>171</v>
      </c>
    </row>
    <row r="28" spans="1:5" x14ac:dyDescent="0.25">
      <c r="A28" t="s">
        <v>115</v>
      </c>
      <c r="B28">
        <v>2</v>
      </c>
      <c r="C28" t="s">
        <v>161</v>
      </c>
      <c r="D28" s="5" t="s">
        <v>155</v>
      </c>
      <c r="E28" t="s">
        <v>184</v>
      </c>
    </row>
    <row r="29" spans="1:5" s="6" customFormat="1" x14ac:dyDescent="0.25">
      <c r="A29" s="6" t="s">
        <v>102</v>
      </c>
      <c r="B29" s="6">
        <v>2</v>
      </c>
      <c r="C29" s="6" t="s">
        <v>161</v>
      </c>
      <c r="D29" s="7" t="s">
        <v>131</v>
      </c>
      <c r="E29" s="6" t="s">
        <v>165</v>
      </c>
    </row>
    <row r="30" spans="1:5" x14ac:dyDescent="0.25">
      <c r="A30" t="s">
        <v>123</v>
      </c>
      <c r="B30">
        <v>1</v>
      </c>
      <c r="C30" t="s">
        <v>163</v>
      </c>
      <c r="D30" s="5" t="s">
        <v>146</v>
      </c>
      <c r="E30" t="s">
        <v>189</v>
      </c>
    </row>
    <row r="31" spans="1:5" s="6" customFormat="1" x14ac:dyDescent="0.25">
      <c r="A31" s="6" t="s">
        <v>112</v>
      </c>
      <c r="B31" s="6">
        <v>1</v>
      </c>
      <c r="C31" s="6" t="s">
        <v>161</v>
      </c>
      <c r="D31" s="7" t="s">
        <v>138</v>
      </c>
      <c r="E31" s="6" t="s">
        <v>181</v>
      </c>
    </row>
    <row r="32" spans="1:5" x14ac:dyDescent="0.25">
      <c r="A32" t="s">
        <v>118</v>
      </c>
      <c r="B32">
        <v>2</v>
      </c>
      <c r="C32" t="s">
        <v>161</v>
      </c>
      <c r="D32" s="5" t="s">
        <v>129</v>
      </c>
      <c r="E32" t="s">
        <v>167</v>
      </c>
    </row>
  </sheetData>
  <phoneticPr fontId="3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A2" sqref="A2"/>
    </sheetView>
  </sheetViews>
  <sheetFormatPr defaultRowHeight="13.2" x14ac:dyDescent="0.25"/>
  <cols>
    <col min="1" max="1" width="112.88671875" customWidth="1"/>
  </cols>
  <sheetData>
    <row r="1" spans="1:2" x14ac:dyDescent="0.25">
      <c r="A1" s="9" t="s">
        <v>322</v>
      </c>
    </row>
    <row r="2" spans="1:2" x14ac:dyDescent="0.25">
      <c r="A2" s="1" t="s">
        <v>195</v>
      </c>
    </row>
    <row r="4" spans="1:2" s="8" customFormat="1" ht="39.6" x14ac:dyDescent="0.25">
      <c r="A4" s="12" t="s">
        <v>317</v>
      </c>
    </row>
    <row r="6" spans="1:2" x14ac:dyDescent="0.25">
      <c r="A6" t="s">
        <v>196</v>
      </c>
    </row>
    <row r="7" spans="1:2" x14ac:dyDescent="0.25">
      <c r="A7" t="s">
        <v>197</v>
      </c>
    </row>
    <row r="8" spans="1:2" x14ac:dyDescent="0.25">
      <c r="A8" t="s">
        <v>198</v>
      </c>
    </row>
    <row r="9" spans="1:2" x14ac:dyDescent="0.25">
      <c r="A9" t="s">
        <v>199</v>
      </c>
    </row>
    <row r="14" spans="1:2" x14ac:dyDescent="0.25">
      <c r="B14" s="9"/>
    </row>
  </sheetData>
  <phoneticPr fontId="3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96a66e58-4b85-455b-87c5-db0ab19663cd}" enabled="1" method="Standard" siteId="{3ec00d79-021a-42d4-aac8-dcb35973df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 cards</vt:lpstr>
      <vt:lpstr>Intrigue cards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Yao</dc:creator>
  <cp:lastModifiedBy>Paul Craven</cp:lastModifiedBy>
  <dcterms:created xsi:type="dcterms:W3CDTF">1996-10-14T23:33:28Z</dcterms:created>
  <dcterms:modified xsi:type="dcterms:W3CDTF">2026-05-08T14:51:47Z</dcterms:modified>
</cp:coreProperties>
</file>